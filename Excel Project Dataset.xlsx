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F:\DATA P\Projects\"/>
    </mc:Choice>
  </mc:AlternateContent>
  <xr:revisionPtr revIDLastSave="0" documentId="13_ncr:1_{1C76CD30-705B-473D-9F4B-2BF3F9BC0AA2}" xr6:coauthVersionLast="47" xr6:coauthVersionMax="47" xr10:uidLastSave="{00000000-0000-0000-0000-000000000000}"/>
  <bookViews>
    <workbookView xWindow="-108" yWindow="-108" windowWidth="30936" windowHeight="16896" activeTab="3" xr2:uid="{00000000-000D-0000-FFFF-FFFF00000000}"/>
  </bookViews>
  <sheets>
    <sheet name="bike_buyers" sheetId="1" r:id="rId1"/>
    <sheet name="Pivot Table" sheetId="3" r:id="rId2"/>
    <sheet name="Working Sheet" sheetId="4" r:id="rId3"/>
    <sheet name="DashBoard" sheetId="2" r:id="rId4"/>
  </sheets>
  <definedNames>
    <definedName name="_xlnm._FilterDatabase" localSheetId="0" hidden="1">bike_buyers!$A$1:$M$1001</definedName>
    <definedName name="_xlnm._FilterDatabase" localSheetId="2" hidden="1">'Working Sheet'!$A$1:$N$1001</definedName>
    <definedName name="Slicer_Education">#N/A</definedName>
    <definedName name="Slicer_Marital_Status">#N/A</definedName>
    <definedName name="Slicer_Region">#N/A</definedName>
  </definedNames>
  <calcPr calcId="191029"/>
  <pivotCaches>
    <pivotCache cacheId="6"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<sst xmlns="http://schemas.openxmlformats.org/spreadsheetml/2006/main" count="16274" uniqueCount="51">
  <si>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</si>
  <si>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</si>
  <si>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</si>
  <si>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</si>
  <si>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</si>
  <si>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</si>
  <si>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</si>
  <si>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</si>
  <si>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</si>
  <si>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</si>
  <si>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</si>
  <si>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</si>
  <si>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</si>
  <si>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</si>
  <si>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</si>
  <si>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</si>
  <si>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</si>
  <si>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</si>
  <si>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</si>
  <si>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</si>
  <si>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</si>
  <si>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</si>
  <si>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</si>
  <si>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</si>
  <si>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</si>
  <si>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</si>
  <si>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</si>
  <si>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</si>
  <si>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</si>
  <si>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</si>
  <si>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</si>
  <si>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</si>
  <si>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</si>
  <si>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</si>
  <si>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</si>
  <si>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</si>
  <si>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</si>
  <si>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</si>
  <si>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</si>
  <si>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</si>
  <si>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t>
  </si>
  <si>
    <t>Row Labels</t>
  </si>
  <si>
    <t>Grand Total</t>
  </si>
  <si>
    <t>Average of Income</t>
  </si>
  <si>
    <t>Column Labels</t>
  </si>
  <si>
    <t>Count of Purchased Bike</t>
  </si>
  <si>
    <t>+10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</si>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</sst>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 #,##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Table'!$B$1:$B$2</c:f>
              <c:strCache>
                <c:ptCount val="1"/>
                <c:pt idx="0">
                  <c:v>No</c:v>
                </c:pt>
              </c:strCache>
            </c:strRef>
          </c:tx>
          <c:spPr>
            <a:solidFill>
              <a:schemeClr val="accent1"/>
            </a:solidFill>
            <a:ln>
              <a:noFill/>
            </a:ln>
            <a:effectLst/>
            <a:sp3d/>
          </c:spPr>
          <c:invertIfNegative val="0"/>
          <c:cat>
            <c:strRef>
              <c:f>'Pivot Table'!$A$3:$A$5</c:f>
              <c:strCache>
                <c:ptCount val="2"/>
                <c:pt idx="0">
                  <c:v>Female</c:v>
                </c:pt>
                <c:pt idx="1">
                  <c:v>Male</c:v>
                </c:pt>
              </c:strCache>
            </c:strRef>
          </c:cat>
          <c:val>
            <c:numRef>
              <c:f>'Pivot Table'!$B$3:$B$5</c:f>
              <c:numCache>
                <c:formatCode>"$"\ #,##0.00</c:formatCode>
                <c:ptCount val="2"/>
                <c:pt idx="0">
                  <c:v>68421.052631578947</c:v>
                </c:pt>
                <c:pt idx="1">
                  <c:v>62500</c:v>
                </c:pt>
              </c:numCache>
            </c:numRef>
          </c:val>
          <c:extLst>
            <c:ext xmlns:c16="http://schemas.microsoft.com/office/drawing/2014/chart" uri="{C3380CC4-5D6E-409C-BE32-E72D297353CC}">
              <c16:uniqueId val="{00000000-47AE-40E2-B5CF-95B004CC291C}"/>
            </c:ext>
          </c:extLst>
        </c:ser>
        <c:ser>
          <c:idx val="1"/>
          <c:order val="1"/>
          <c:tx>
            <c:strRef>
              <c:f>'Pivot Table'!$C$1:$C$2</c:f>
              <c:strCache>
                <c:ptCount val="1"/>
                <c:pt idx="0">
                  <c:v>Yes</c:v>
                </c:pt>
              </c:strCache>
            </c:strRef>
          </c:tx>
          <c:spPr>
            <a:solidFill>
              <a:schemeClr val="accent2"/>
            </a:solidFill>
            <a:ln>
              <a:noFill/>
            </a:ln>
            <a:effectLst/>
            <a:sp3d/>
          </c:spPr>
          <c:invertIfNegative val="0"/>
          <c:cat>
            <c:strRef>
              <c:f>'Pivot Table'!$A$3:$A$5</c:f>
              <c:strCache>
                <c:ptCount val="2"/>
                <c:pt idx="0">
                  <c:v>Female</c:v>
                </c:pt>
                <c:pt idx="1">
                  <c:v>Male</c:v>
                </c:pt>
              </c:strCache>
            </c:strRef>
          </c:cat>
          <c:val>
            <c:numRef>
              <c:f>'Pivot Table'!$C$3:$C$5</c:f>
              <c:numCache>
                <c:formatCode>"$"\ #,##0.00</c:formatCode>
                <c:ptCount val="2"/>
                <c:pt idx="0">
                  <c:v>64827.586206896551</c:v>
                </c:pt>
                <c:pt idx="1">
                  <c:v>63636.36363636364</c:v>
                </c:pt>
              </c:numCache>
            </c:numRef>
          </c:val>
          <c:extLst>
            <c:ext xmlns:c16="http://schemas.microsoft.com/office/drawing/2014/chart" uri="{C3380CC4-5D6E-409C-BE32-E72D297353CC}">
              <c16:uniqueId val="{00000001-47AE-40E2-B5CF-95B004CC291C}"/>
            </c:ext>
          </c:extLst>
        </c:ser>
        <c:dLbls>
          <c:showLegendKey val="0"/>
          <c:showVal val="0"/>
          <c:showCatName val="0"/>
          <c:showSerName val="0"/>
          <c:showPercent val="0"/>
          <c:showBubbleSize val="0"/>
        </c:dLbls>
        <c:gapWidth val="150"/>
        <c:shape val="box"/>
        <c:axId val="541322943"/>
        <c:axId val="541337343"/>
        <c:axId val="547941887"/>
      </c:bar3DChart>
      <c:catAx>
        <c:axId val="541322943"/>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A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541337343"/>
        <c:crosses val="autoZero"/>
        <c:auto val="1"/>
        <c:lblAlgn val="ctr"/>
        <c:lblOffset val="100"/>
        <c:noMultiLvlLbl val="0"/>
      </c:catAx>
      <c:valAx>
        <c:axId val="541337343"/>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AR"/>
            </a:p>
          </c:txPr>
        </c:title>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541322943"/>
        <c:crosses val="autoZero"/>
        <c:crossBetween val="between"/>
      </c:valAx>
      <c:serAx>
        <c:axId val="547941887"/>
        <c:scaling>
          <c:orientation val="minMax"/>
        </c:scaling>
        <c:delete val="0"/>
        <c:axPos val="b"/>
        <c:title>
          <c:overlay val="0"/>
          <c:spPr>
            <a:noFill/>
            <a:ln>
              <a:noFill/>
            </a:ln>
            <a:effectLst/>
          </c:spPr>
          <c:txPr>
            <a:bodyPr rot="-540000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AR"/>
            </a:p>
          </c:txPr>
        </c:title>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541337343"/>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+10 Miles</c:v>
                </c:pt>
              </c:strCache>
            </c:strRef>
          </c:cat>
          <c:val>
            <c:numRef>
              <c:f>'Pivot Table'!$B$22:$B$27</c:f>
              <c:numCache>
                <c:formatCode>General</c:formatCode>
                <c:ptCount val="5"/>
                <c:pt idx="0">
                  <c:v>4</c:v>
                </c:pt>
                <c:pt idx="1">
                  <c:v>3</c:v>
                </c:pt>
                <c:pt idx="2">
                  <c:v>3</c:v>
                </c:pt>
                <c:pt idx="3">
                  <c:v>14</c:v>
                </c:pt>
                <c:pt idx="4">
                  <c:v>11</c:v>
                </c:pt>
              </c:numCache>
            </c:numRef>
          </c:val>
          <c:smooth val="0"/>
          <c:extLst>
            <c:ext xmlns:c16="http://schemas.microsoft.com/office/drawing/2014/chart" uri="{C3380CC4-5D6E-409C-BE32-E72D297353CC}">
              <c16:uniqueId val="{00000000-BECE-4225-B9E1-4A0E1D7D8B3A}"/>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+10 Miles</c:v>
                </c:pt>
              </c:strCache>
            </c:strRef>
          </c:cat>
          <c:val>
            <c:numRef>
              <c:f>'Pivot Table'!$C$22:$C$27</c:f>
              <c:numCache>
                <c:formatCode>General</c:formatCode>
                <c:ptCount val="5"/>
                <c:pt idx="0">
                  <c:v>23</c:v>
                </c:pt>
                <c:pt idx="1">
                  <c:v>6</c:v>
                </c:pt>
                <c:pt idx="2">
                  <c:v>4</c:v>
                </c:pt>
                <c:pt idx="3">
                  <c:v>21</c:v>
                </c:pt>
                <c:pt idx="4">
                  <c:v>8</c:v>
                </c:pt>
              </c:numCache>
            </c:numRef>
          </c:val>
          <c:smooth val="0"/>
          <c:extLst>
            <c:ext xmlns:c16="http://schemas.microsoft.com/office/drawing/2014/chart" uri="{C3380CC4-5D6E-409C-BE32-E72D297353CC}">
              <c16:uniqueId val="{00000001-BECE-4225-B9E1-4A0E1D7D8B3A}"/>
            </c:ext>
          </c:extLst>
        </c:ser>
        <c:dLbls>
          <c:showLegendKey val="0"/>
          <c:showVal val="0"/>
          <c:showCatName val="0"/>
          <c:showSerName val="0"/>
          <c:showPercent val="0"/>
          <c:showBubbleSize val="0"/>
        </c:dLbls>
        <c:smooth val="0"/>
        <c:axId val="690502383"/>
        <c:axId val="690508623"/>
      </c:lineChart>
      <c:catAx>
        <c:axId val="690502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690508623"/>
        <c:crosses val="autoZero"/>
        <c:auto val="1"/>
        <c:lblAlgn val="ctr"/>
        <c:lblOffset val="100"/>
        <c:noMultiLvlLbl val="0"/>
      </c:catAx>
      <c:valAx>
        <c:axId val="6905086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690502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Customer Age</a:t>
            </a:r>
            <a:r>
              <a:rPr lang="es-AR" baseline="0"/>
              <a:t> Brackets</a:t>
            </a:r>
            <a:endParaRPr lang="es-AR"/>
          </a:p>
        </c:rich>
      </c:tx>
      <c:layout>
        <c:manualLayout>
          <c:xMode val="edge"/>
          <c:yMode val="edge"/>
          <c:x val="0.40949300087489071"/>
          <c:y val="0.1147200349956255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Table'!$B$38:$B$39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Table'!$A$40:$A$43</c:f>
              <c:strCache>
                <c:ptCount val="3"/>
                <c:pt idx="0">
                  <c:v>Adolescent</c:v>
                </c:pt>
                <c:pt idx="1">
                  <c:v>Middle Age</c:v>
                </c:pt>
                <c:pt idx="2">
                  <c:v>Old</c:v>
                </c:pt>
              </c:strCache>
            </c:strRef>
          </c:cat>
          <c:val>
            <c:numRef>
              <c:f>'Pivot Table'!$B$40:$B$43</c:f>
              <c:numCache>
                <c:formatCode>General</c:formatCode>
                <c:ptCount val="3"/>
                <c:pt idx="1">
                  <c:v>26</c:v>
                </c:pt>
                <c:pt idx="2">
                  <c:v>9</c:v>
                </c:pt>
              </c:numCache>
            </c:numRef>
          </c:val>
          <c:smooth val="0"/>
          <c:extLst>
            <c:ext xmlns:c16="http://schemas.microsoft.com/office/drawing/2014/chart" uri="{C3380CC4-5D6E-409C-BE32-E72D297353CC}">
              <c16:uniqueId val="{00000000-26BB-4BE4-B5BD-E49AA80134CF}"/>
            </c:ext>
          </c:extLst>
        </c:ser>
        <c:ser>
          <c:idx val="1"/>
          <c:order val="1"/>
          <c:tx>
            <c:strRef>
              <c:f>'Pivot Table'!$C$38:$C$39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Table'!$A$40:$A$43</c:f>
              <c:strCache>
                <c:ptCount val="3"/>
                <c:pt idx="0">
                  <c:v>Adolescent</c:v>
                </c:pt>
                <c:pt idx="1">
                  <c:v>Middle Age</c:v>
                </c:pt>
                <c:pt idx="2">
                  <c:v>Old</c:v>
                </c:pt>
              </c:strCache>
            </c:strRef>
          </c:cat>
          <c:val>
            <c:numRef>
              <c:f>'Pivot Table'!$C$40:$C$43</c:f>
              <c:numCache>
                <c:formatCode>General</c:formatCode>
                <c:ptCount val="3"/>
                <c:pt idx="0">
                  <c:v>10</c:v>
                </c:pt>
                <c:pt idx="1">
                  <c:v>38</c:v>
                </c:pt>
                <c:pt idx="2">
                  <c:v>14</c:v>
                </c:pt>
              </c:numCache>
            </c:numRef>
          </c:val>
          <c:smooth val="0"/>
          <c:extLst>
            <c:ext xmlns:c16="http://schemas.microsoft.com/office/drawing/2014/chart" uri="{C3380CC4-5D6E-409C-BE32-E72D297353CC}">
              <c16:uniqueId val="{00000001-26BB-4BE4-B5BD-E49AA80134CF}"/>
            </c:ext>
          </c:extLst>
        </c:ser>
        <c:dLbls>
          <c:showLegendKey val="0"/>
          <c:showVal val="0"/>
          <c:showCatName val="0"/>
          <c:showSerName val="0"/>
          <c:showPercent val="0"/>
          <c:showBubbleSize val="0"/>
        </c:dLbls>
        <c:marker val="1"/>
        <c:smooth val="0"/>
        <c:axId val="1603140848"/>
        <c:axId val="1603126448"/>
      </c:lineChart>
      <c:catAx>
        <c:axId val="16031408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AR"/>
                  <a:t>Age</a:t>
                </a:r>
                <a:r>
                  <a:rPr lang="es-AR" baseline="0"/>
                  <a:t> Brackets</a:t>
                </a:r>
                <a:endParaRPr lang="es-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A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603126448"/>
        <c:crosses val="autoZero"/>
        <c:auto val="1"/>
        <c:lblAlgn val="ctr"/>
        <c:lblOffset val="100"/>
        <c:noMultiLvlLbl val="0"/>
      </c:catAx>
      <c:valAx>
        <c:axId val="1603126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603140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1"/>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Table'!$B$55:$B$56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Table'!$A$57:$A$110</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Table'!$B$57:$B$110</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52F5-456C-A680-12FABBEC13FA}"/>
            </c:ext>
          </c:extLst>
        </c:ser>
        <c:ser>
          <c:idx val="1"/>
          <c:order val="1"/>
          <c:tx>
            <c:strRef>
              <c:f>'Pivot Table'!$C$55:$C$56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Table'!$A$57:$A$110</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Table'!$C$57:$C$110</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52F5-456C-A680-12FABBEC13FA}"/>
            </c:ext>
          </c:extLst>
        </c:ser>
        <c:dLbls>
          <c:showLegendKey val="0"/>
          <c:showVal val="0"/>
          <c:showCatName val="0"/>
          <c:showSerName val="0"/>
          <c:showPercent val="0"/>
          <c:showBubbleSize val="0"/>
        </c:dLbls>
        <c:marker val="1"/>
        <c:smooth val="0"/>
        <c:axId val="1603125968"/>
        <c:axId val="1603132208"/>
      </c:lineChart>
      <c:catAx>
        <c:axId val="1603125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603132208"/>
        <c:crosses val="autoZero"/>
        <c:auto val="1"/>
        <c:lblAlgn val="ctr"/>
        <c:lblOffset val="100"/>
        <c:noMultiLvlLbl val="0"/>
      </c:catAx>
      <c:valAx>
        <c:axId val="1603132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603125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Table'!$B$1:$B$2</c:f>
              <c:strCache>
                <c:ptCount val="1"/>
                <c:pt idx="0">
                  <c:v>No</c:v>
                </c:pt>
              </c:strCache>
            </c:strRef>
          </c:tx>
          <c:spPr>
            <a:solidFill>
              <a:schemeClr val="accent1"/>
            </a:solidFill>
            <a:ln>
              <a:noFill/>
            </a:ln>
            <a:effectLst/>
            <a:sp3d/>
          </c:spPr>
          <c:invertIfNegative val="0"/>
          <c:cat>
            <c:strRef>
              <c:f>'Pivot Table'!$A$3:$A$5</c:f>
              <c:strCache>
                <c:ptCount val="2"/>
                <c:pt idx="0">
                  <c:v>Female</c:v>
                </c:pt>
                <c:pt idx="1">
                  <c:v>Male</c:v>
                </c:pt>
              </c:strCache>
            </c:strRef>
          </c:cat>
          <c:val>
            <c:numRef>
              <c:f>'Pivot Table'!$B$3:$B$5</c:f>
              <c:numCache>
                <c:formatCode>"$"\ #,##0.00</c:formatCode>
                <c:ptCount val="2"/>
                <c:pt idx="0">
                  <c:v>68421.052631578947</c:v>
                </c:pt>
                <c:pt idx="1">
                  <c:v>62500</c:v>
                </c:pt>
              </c:numCache>
            </c:numRef>
          </c:val>
          <c:extLst>
            <c:ext xmlns:c16="http://schemas.microsoft.com/office/drawing/2014/chart" uri="{C3380CC4-5D6E-409C-BE32-E72D297353CC}">
              <c16:uniqueId val="{00000000-F343-4345-8FAF-F4F1235075EF}"/>
            </c:ext>
          </c:extLst>
        </c:ser>
        <c:ser>
          <c:idx val="1"/>
          <c:order val="1"/>
          <c:tx>
            <c:strRef>
              <c:f>'Pivot Table'!$C$1:$C$2</c:f>
              <c:strCache>
                <c:ptCount val="1"/>
                <c:pt idx="0">
                  <c:v>Yes</c:v>
                </c:pt>
              </c:strCache>
            </c:strRef>
          </c:tx>
          <c:spPr>
            <a:solidFill>
              <a:schemeClr val="accent2"/>
            </a:solidFill>
            <a:ln>
              <a:noFill/>
            </a:ln>
            <a:effectLst/>
            <a:sp3d/>
          </c:spPr>
          <c:invertIfNegative val="0"/>
          <c:cat>
            <c:strRef>
              <c:f>'Pivot Table'!$A$3:$A$5</c:f>
              <c:strCache>
                <c:ptCount val="2"/>
                <c:pt idx="0">
                  <c:v>Female</c:v>
                </c:pt>
                <c:pt idx="1">
                  <c:v>Male</c:v>
                </c:pt>
              </c:strCache>
            </c:strRef>
          </c:cat>
          <c:val>
            <c:numRef>
              <c:f>'Pivot Table'!$C$3:$C$5</c:f>
              <c:numCache>
                <c:formatCode>"$"\ #,##0.00</c:formatCode>
                <c:ptCount val="2"/>
                <c:pt idx="0">
                  <c:v>64827.586206896551</c:v>
                </c:pt>
                <c:pt idx="1">
                  <c:v>63636.36363636364</c:v>
                </c:pt>
              </c:numCache>
            </c:numRef>
          </c:val>
          <c:extLst>
            <c:ext xmlns:c16="http://schemas.microsoft.com/office/drawing/2014/chart" uri="{C3380CC4-5D6E-409C-BE32-E72D297353CC}">
              <c16:uniqueId val="{00000001-F343-4345-8FAF-F4F1235075EF}"/>
            </c:ext>
          </c:extLst>
        </c:ser>
        <c:dLbls>
          <c:showLegendKey val="0"/>
          <c:showVal val="0"/>
          <c:showCatName val="0"/>
          <c:showSerName val="0"/>
          <c:showPercent val="0"/>
          <c:showBubbleSize val="0"/>
        </c:dLbls>
        <c:gapWidth val="150"/>
        <c:shape val="box"/>
        <c:axId val="541322943"/>
        <c:axId val="541337343"/>
        <c:axId val="547941887"/>
      </c:bar3DChart>
      <c:catAx>
        <c:axId val="541322943"/>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A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541337343"/>
        <c:crosses val="autoZero"/>
        <c:auto val="1"/>
        <c:lblAlgn val="ctr"/>
        <c:lblOffset val="100"/>
        <c:noMultiLvlLbl val="0"/>
      </c:catAx>
      <c:valAx>
        <c:axId val="541337343"/>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AR"/>
            </a:p>
          </c:txPr>
        </c:title>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541322943"/>
        <c:crosses val="autoZero"/>
        <c:crossBetween val="between"/>
      </c:valAx>
      <c:serAx>
        <c:axId val="547941887"/>
        <c:scaling>
          <c:orientation val="minMax"/>
        </c:scaling>
        <c:delete val="0"/>
        <c:axPos val="b"/>
        <c:title>
          <c:overlay val="0"/>
          <c:spPr>
            <a:noFill/>
            <a:ln>
              <a:noFill/>
            </a:ln>
            <a:effectLst/>
          </c:spPr>
          <c:txPr>
            <a:bodyPr rot="-540000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AR"/>
            </a:p>
          </c:txPr>
        </c:title>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541337343"/>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+10 Miles</c:v>
                </c:pt>
              </c:strCache>
            </c:strRef>
          </c:cat>
          <c:val>
            <c:numRef>
              <c:f>'Pivot Table'!$B$22:$B$27</c:f>
              <c:numCache>
                <c:formatCode>General</c:formatCode>
                <c:ptCount val="5"/>
                <c:pt idx="0">
                  <c:v>4</c:v>
                </c:pt>
                <c:pt idx="1">
                  <c:v>3</c:v>
                </c:pt>
                <c:pt idx="2">
                  <c:v>3</c:v>
                </c:pt>
                <c:pt idx="3">
                  <c:v>14</c:v>
                </c:pt>
                <c:pt idx="4">
                  <c:v>11</c:v>
                </c:pt>
              </c:numCache>
            </c:numRef>
          </c:val>
          <c:smooth val="0"/>
          <c:extLst>
            <c:ext xmlns:c16="http://schemas.microsoft.com/office/drawing/2014/chart" uri="{C3380CC4-5D6E-409C-BE32-E72D297353CC}">
              <c16:uniqueId val="{00000000-5B80-4C55-AF18-C8B91DC14CBA}"/>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+10 Miles</c:v>
                </c:pt>
              </c:strCache>
            </c:strRef>
          </c:cat>
          <c:val>
            <c:numRef>
              <c:f>'Pivot Table'!$C$22:$C$27</c:f>
              <c:numCache>
                <c:formatCode>General</c:formatCode>
                <c:ptCount val="5"/>
                <c:pt idx="0">
                  <c:v>23</c:v>
                </c:pt>
                <c:pt idx="1">
                  <c:v>6</c:v>
                </c:pt>
                <c:pt idx="2">
                  <c:v>4</c:v>
                </c:pt>
                <c:pt idx="3">
                  <c:v>21</c:v>
                </c:pt>
                <c:pt idx="4">
                  <c:v>8</c:v>
                </c:pt>
              </c:numCache>
            </c:numRef>
          </c:val>
          <c:smooth val="0"/>
          <c:extLst>
            <c:ext xmlns:c16="http://schemas.microsoft.com/office/drawing/2014/chart" uri="{C3380CC4-5D6E-409C-BE32-E72D297353CC}">
              <c16:uniqueId val="{00000001-5B80-4C55-AF18-C8B91DC14CBA}"/>
            </c:ext>
          </c:extLst>
        </c:ser>
        <c:dLbls>
          <c:showLegendKey val="0"/>
          <c:showVal val="0"/>
          <c:showCatName val="0"/>
          <c:showSerName val="0"/>
          <c:showPercent val="0"/>
          <c:showBubbleSize val="0"/>
        </c:dLbls>
        <c:smooth val="0"/>
        <c:axId val="690502383"/>
        <c:axId val="690508623"/>
      </c:lineChart>
      <c:catAx>
        <c:axId val="690502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690508623"/>
        <c:crosses val="autoZero"/>
        <c:auto val="1"/>
        <c:lblAlgn val="ctr"/>
        <c:lblOffset val="100"/>
        <c:noMultiLvlLbl val="0"/>
      </c:catAx>
      <c:valAx>
        <c:axId val="6905086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690502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Customer Age</a:t>
            </a:r>
            <a:r>
              <a:rPr lang="es-AR" baseline="0"/>
              <a:t> Brackets</a:t>
            </a:r>
            <a:endParaRPr lang="es-AR"/>
          </a:p>
        </c:rich>
      </c:tx>
      <c:layout>
        <c:manualLayout>
          <c:xMode val="edge"/>
          <c:yMode val="edge"/>
          <c:x val="0.40949300087489071"/>
          <c:y val="0.1147200349956255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Table'!$B$38:$B$39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Table'!$A$40:$A$43</c:f>
              <c:strCache>
                <c:ptCount val="3"/>
                <c:pt idx="0">
                  <c:v>Adolescent</c:v>
                </c:pt>
                <c:pt idx="1">
                  <c:v>Middle Age</c:v>
                </c:pt>
                <c:pt idx="2">
                  <c:v>Old</c:v>
                </c:pt>
              </c:strCache>
            </c:strRef>
          </c:cat>
          <c:val>
            <c:numRef>
              <c:f>'Pivot Table'!$B$40:$B$43</c:f>
              <c:numCache>
                <c:formatCode>General</c:formatCode>
                <c:ptCount val="3"/>
                <c:pt idx="1">
                  <c:v>26</c:v>
                </c:pt>
                <c:pt idx="2">
                  <c:v>9</c:v>
                </c:pt>
              </c:numCache>
            </c:numRef>
          </c:val>
          <c:smooth val="0"/>
          <c:extLst>
            <c:ext xmlns:c16="http://schemas.microsoft.com/office/drawing/2014/chart" uri="{C3380CC4-5D6E-409C-BE32-E72D297353CC}">
              <c16:uniqueId val="{00000000-8B6F-46EE-B82B-AE7811F3BD40}"/>
            </c:ext>
          </c:extLst>
        </c:ser>
        <c:ser>
          <c:idx val="1"/>
          <c:order val="1"/>
          <c:tx>
            <c:strRef>
              <c:f>'Pivot Table'!$C$38:$C$39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Table'!$A$40:$A$43</c:f>
              <c:strCache>
                <c:ptCount val="3"/>
                <c:pt idx="0">
                  <c:v>Adolescent</c:v>
                </c:pt>
                <c:pt idx="1">
                  <c:v>Middle Age</c:v>
                </c:pt>
                <c:pt idx="2">
                  <c:v>Old</c:v>
                </c:pt>
              </c:strCache>
            </c:strRef>
          </c:cat>
          <c:val>
            <c:numRef>
              <c:f>'Pivot Table'!$C$40:$C$43</c:f>
              <c:numCache>
                <c:formatCode>General</c:formatCode>
                <c:ptCount val="3"/>
                <c:pt idx="0">
                  <c:v>10</c:v>
                </c:pt>
                <c:pt idx="1">
                  <c:v>38</c:v>
                </c:pt>
                <c:pt idx="2">
                  <c:v>14</c:v>
                </c:pt>
              </c:numCache>
            </c:numRef>
          </c:val>
          <c:smooth val="0"/>
          <c:extLst>
            <c:ext xmlns:c16="http://schemas.microsoft.com/office/drawing/2014/chart" uri="{C3380CC4-5D6E-409C-BE32-E72D297353CC}">
              <c16:uniqueId val="{00000001-8B6F-46EE-B82B-AE7811F3BD40}"/>
            </c:ext>
          </c:extLst>
        </c:ser>
        <c:dLbls>
          <c:showLegendKey val="0"/>
          <c:showVal val="0"/>
          <c:showCatName val="0"/>
          <c:showSerName val="0"/>
          <c:showPercent val="0"/>
          <c:showBubbleSize val="0"/>
        </c:dLbls>
        <c:marker val="1"/>
        <c:smooth val="0"/>
        <c:axId val="1603140848"/>
        <c:axId val="1603126448"/>
      </c:lineChart>
      <c:catAx>
        <c:axId val="16031408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AR"/>
                  <a:t>Age</a:t>
                </a:r>
                <a:r>
                  <a:rPr lang="es-AR" baseline="0"/>
                  <a:t> Brackets</a:t>
                </a:r>
                <a:endParaRPr lang="es-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A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603126448"/>
        <c:crosses val="autoZero"/>
        <c:auto val="1"/>
        <c:lblAlgn val="ctr"/>
        <c:lblOffset val="100"/>
        <c:noMultiLvlLbl val="0"/>
      </c:catAx>
      <c:valAx>
        <c:axId val="1603126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603140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5</xdr:col>
      <xdr:colOff>0</xdr:colOff>
      <xdr:row>1</xdr:row>
      <xdr:rowOff>0</xdr:rowOff>
    </xdr:from>
    <xdr:to>
      <xdr:col>12</xdr:col>
      <xdr:colOff>304800</xdr:colOff>
      <xdr:row>16</xdr:row>
      <xdr:rowOff>0</xdr:rowOff>
    </xdr:to>
    <xdr:graphicFrame macro="">
      <xdr:nvGraphicFramePr>
        <xdr:cNvPr id="2" name="Chart 1">
          <a:extLst>
            <a:ext uri="{FF2B5EF4-FFF2-40B4-BE49-F238E27FC236}">
              <a16:creationId xmlns:a16="http://schemas.microsoft.com/office/drawing/2014/main" id="{60072010-4B13-7CE2-9A8C-8B5EC57723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182880</xdr:colOff>
      <xdr:row>18</xdr:row>
      <xdr:rowOff>19050</xdr:rowOff>
    </xdr:from>
    <xdr:to>
      <xdr:col>12</xdr:col>
      <xdr:colOff>487680</xdr:colOff>
      <xdr:row>33</xdr:row>
      <xdr:rowOff>19050</xdr:rowOff>
    </xdr:to>
    <xdr:graphicFrame macro="">
      <xdr:nvGraphicFramePr>
        <xdr:cNvPr id="3" name="Chart 2">
          <a:extLst>
            <a:ext uri="{FF2B5EF4-FFF2-40B4-BE49-F238E27FC236}">
              <a16:creationId xmlns:a16="http://schemas.microsoft.com/office/drawing/2014/main" id="{A6B1FF11-E271-4D51-24B8-27EF84752E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220980</xdr:colOff>
      <xdr:row>35</xdr:row>
      <xdr:rowOff>95250</xdr:rowOff>
    </xdr:from>
    <xdr:to>
      <xdr:col>12</xdr:col>
      <xdr:colOff>525780</xdr:colOff>
      <xdr:row>50</xdr:row>
      <xdr:rowOff>95250</xdr:rowOff>
    </xdr:to>
    <xdr:graphicFrame macro="">
      <xdr:nvGraphicFramePr>
        <xdr:cNvPr id="4" name="Chart 3">
          <a:extLst>
            <a:ext uri="{FF2B5EF4-FFF2-40B4-BE49-F238E27FC236}">
              <a16:creationId xmlns:a16="http://schemas.microsoft.com/office/drawing/2014/main" id="{B8304926-5F3C-BBA1-EB88-67DA907797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245165</xdr:colOff>
      <xdr:row>53</xdr:row>
      <xdr:rowOff>182218</xdr:rowOff>
    </xdr:from>
    <xdr:to>
      <xdr:col>12</xdr:col>
      <xdr:colOff>549965</xdr:colOff>
      <xdr:row>68</xdr:row>
      <xdr:rowOff>142461</xdr:rowOff>
    </xdr:to>
    <xdr:graphicFrame macro="">
      <xdr:nvGraphicFramePr>
        <xdr:cNvPr id="5" name="Chart 4">
          <a:extLst>
            <a:ext uri="{FF2B5EF4-FFF2-40B4-BE49-F238E27FC236}">
              <a16:creationId xmlns:a16="http://schemas.microsoft.com/office/drawing/2014/main" id="{EFE640A1-0BD7-31CC-C29A-7ABEFFDB31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25101</xdr:colOff>
      <xdr:row>7</xdr:row>
      <xdr:rowOff>7621</xdr:rowOff>
    </xdr:from>
    <xdr:to>
      <xdr:col>10</xdr:col>
      <xdr:colOff>246081</xdr:colOff>
      <xdr:row>21</xdr:row>
      <xdr:rowOff>144781</xdr:rowOff>
    </xdr:to>
    <xdr:graphicFrame macro="">
      <xdr:nvGraphicFramePr>
        <xdr:cNvPr id="3" name="Chart 2">
          <a:extLst>
            <a:ext uri="{FF2B5EF4-FFF2-40B4-BE49-F238E27FC236}">
              <a16:creationId xmlns:a16="http://schemas.microsoft.com/office/drawing/2014/main" id="{D7D0EE1F-B2DC-4791-B60B-619564FD9A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4482</xdr:colOff>
      <xdr:row>22</xdr:row>
      <xdr:rowOff>14342</xdr:rowOff>
    </xdr:from>
    <xdr:to>
      <xdr:col>19</xdr:col>
      <xdr:colOff>9861</xdr:colOff>
      <xdr:row>37</xdr:row>
      <xdr:rowOff>172122</xdr:rowOff>
    </xdr:to>
    <xdr:graphicFrame macro="">
      <xdr:nvGraphicFramePr>
        <xdr:cNvPr id="4" name="Chart 3">
          <a:extLst>
            <a:ext uri="{FF2B5EF4-FFF2-40B4-BE49-F238E27FC236}">
              <a16:creationId xmlns:a16="http://schemas.microsoft.com/office/drawing/2014/main" id="{88A7E022-4EBF-4B6D-92DD-9F53C91B00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290782</xdr:colOff>
      <xdr:row>7</xdr:row>
      <xdr:rowOff>8272</xdr:rowOff>
    </xdr:from>
    <xdr:to>
      <xdr:col>18</xdr:col>
      <xdr:colOff>595582</xdr:colOff>
      <xdr:row>21</xdr:row>
      <xdr:rowOff>150281</xdr:rowOff>
    </xdr:to>
    <xdr:graphicFrame macro="">
      <xdr:nvGraphicFramePr>
        <xdr:cNvPr id="5" name="Chart 4">
          <a:extLst>
            <a:ext uri="{FF2B5EF4-FFF2-40B4-BE49-F238E27FC236}">
              <a16:creationId xmlns:a16="http://schemas.microsoft.com/office/drawing/2014/main" id="{12D7971D-68AE-4900-A1A2-3B0864AE5B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12170</xdr:colOff>
      <xdr:row>6</xdr:row>
      <xdr:rowOff>393790</xdr:rowOff>
    </xdr:from>
    <xdr:to>
      <xdr:col>2</xdr:col>
      <xdr:colOff>602671</xdr:colOff>
      <xdr:row>13</xdr:row>
      <xdr:rowOff>73071</xdr:rowOff>
    </xdr:to>
    <mc:AlternateContent xmlns:mc="http://schemas.openxmlformats.org/markup-compatibility/2006">
      <mc:Choice xmlns:a14="http://schemas.microsoft.com/office/drawing/2010/main" Requires="a14">
        <xdr:graphicFrame macro="">
          <xdr:nvGraphicFramePr>
            <xdr:cNvPr id="6" name="Marital Status">
              <a:extLst>
                <a:ext uri="{FF2B5EF4-FFF2-40B4-BE49-F238E27FC236}">
                  <a16:creationId xmlns:a16="http://schemas.microsoft.com/office/drawing/2014/main" id="{29D541AE-077D-72EB-958D-2F8DA8F373AA}"/>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2170" y="1491070"/>
              <a:ext cx="1809701" cy="1172801"/>
            </a:xfrm>
            <a:prstGeom prst="rect">
              <a:avLst/>
            </a:prstGeom>
            <a:solidFill>
              <a:prstClr val="white"/>
            </a:solidFill>
            <a:ln w="1">
              <a:solidFill>
                <a:prstClr val="green"/>
              </a:solidFill>
            </a:ln>
          </xdr:spPr>
          <xdr:txBody>
            <a:bodyPr vertOverflow="clip" horzOverflow="clip"/>
            <a:lstStyle/>
            <a:p>
              <a:r>
                <a:rPr lang="es-A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20</xdr:row>
      <xdr:rowOff>179948</xdr:rowOff>
    </xdr:from>
    <xdr:to>
      <xdr:col>3</xdr:col>
      <xdr:colOff>4689</xdr:colOff>
      <xdr:row>33</xdr:row>
      <xdr:rowOff>79129</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E6A8C41E-BB02-4DD5-45EE-B97998D1815A}"/>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4050908"/>
              <a:ext cx="1833489" cy="2276621"/>
            </a:xfrm>
            <a:prstGeom prst="rect">
              <a:avLst/>
            </a:prstGeom>
            <a:solidFill>
              <a:prstClr val="white"/>
            </a:solidFill>
            <a:ln w="1">
              <a:solidFill>
                <a:prstClr val="green"/>
              </a:solidFill>
            </a:ln>
          </xdr:spPr>
          <xdr:txBody>
            <a:bodyPr vertOverflow="clip" horzOverflow="clip"/>
            <a:lstStyle/>
            <a:p>
              <a:r>
                <a:rPr lang="es-A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6447</xdr:colOff>
      <xdr:row>12</xdr:row>
      <xdr:rowOff>26963</xdr:rowOff>
    </xdr:from>
    <xdr:to>
      <xdr:col>3</xdr:col>
      <xdr:colOff>149</xdr:colOff>
      <xdr:row>20</xdr:row>
      <xdr:rowOff>173585</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92E5AF29-7061-873E-0E10-AB5871BF8B5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447" y="2434883"/>
              <a:ext cx="1822502" cy="1609662"/>
            </a:xfrm>
            <a:prstGeom prst="rect">
              <a:avLst/>
            </a:prstGeom>
            <a:solidFill>
              <a:prstClr val="white"/>
            </a:solidFill>
            <a:ln w="1">
              <a:solidFill>
                <a:prstClr val="green"/>
              </a:solidFill>
            </a:ln>
          </xdr:spPr>
          <xdr:txBody>
            <a:bodyPr vertOverflow="clip" horzOverflow="clip"/>
            <a:lstStyle/>
            <a:p>
              <a:r>
                <a:rPr lang="es-A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arreR" refreshedDate="46057.576131944443" createdVersion="8" refreshedVersion="8" minRefreshableVersion="3" recordCount="1000" xr:uid="{F8F1FCCC-1A0F-477C-8E33-74F97356096B}">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5789126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1"/>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1"/>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1"/>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1"/>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1"/>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1"/>
    <x v="1"/>
  </r>
  <r>
    <n v="16514"/>
    <x v="1"/>
    <x v="1"/>
    <n v="10000"/>
    <n v="0"/>
    <x v="1"/>
    <s v="Manual"/>
    <s v="Yes"/>
    <n v="1"/>
    <x v="3"/>
    <x v="1"/>
    <x v="22"/>
    <x v="2"/>
    <x v="1"/>
  </r>
  <r>
    <n v="17191"/>
    <x v="1"/>
    <x v="1"/>
    <n v="130000"/>
    <n v="3"/>
    <x v="1"/>
    <s v="Professional"/>
    <s v="No"/>
    <n v="3"/>
    <x v="0"/>
    <x v="0"/>
    <x v="36"/>
    <x v="1"/>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1"/>
    <x v="1"/>
  </r>
  <r>
    <n v="27494"/>
    <x v="1"/>
    <x v="0"/>
    <n v="40000"/>
    <n v="2"/>
    <x v="1"/>
    <s v="Skilled Manual"/>
    <s v="No"/>
    <n v="2"/>
    <x v="3"/>
    <x v="1"/>
    <x v="39"/>
    <x v="1"/>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1"/>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1"/>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1"/>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1"/>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1"/>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1"/>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1"/>
    <x v="1"/>
  </r>
  <r>
    <n v="25026"/>
    <x v="0"/>
    <x v="1"/>
    <n v="20000"/>
    <n v="2"/>
    <x v="3"/>
    <s v="Clerical"/>
    <s v="Yes"/>
    <n v="3"/>
    <x v="2"/>
    <x v="1"/>
    <x v="9"/>
    <x v="1"/>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1"/>
    <x v="1"/>
  </r>
  <r>
    <n v="18494"/>
    <x v="0"/>
    <x v="1"/>
    <n v="110000"/>
    <n v="5"/>
    <x v="0"/>
    <s v="Management"/>
    <s v="Yes"/>
    <n v="4"/>
    <x v="1"/>
    <x v="1"/>
    <x v="28"/>
    <x v="0"/>
    <x v="1"/>
  </r>
  <r>
    <n v="11249"/>
    <x v="0"/>
    <x v="0"/>
    <n v="130000"/>
    <n v="3"/>
    <x v="1"/>
    <s v="Professional"/>
    <s v="Yes"/>
    <n v="3"/>
    <x v="0"/>
    <x v="0"/>
    <x v="36"/>
    <x v="1"/>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1"/>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1"/>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1"/>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1"/>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1"/>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1"/>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1"/>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1"/>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1"/>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1"/>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1"/>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1"/>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1"/>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1"/>
    <x v="1"/>
  </r>
  <r>
    <n v="25792"/>
    <x v="1"/>
    <x v="0"/>
    <n v="110000"/>
    <n v="3"/>
    <x v="0"/>
    <s v="Management"/>
    <s v="Yes"/>
    <n v="4"/>
    <x v="4"/>
    <x v="0"/>
    <x v="39"/>
    <x v="1"/>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1"/>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1"/>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1"/>
    <x v="1"/>
  </r>
  <r>
    <n v="18153"/>
    <x v="0"/>
    <x v="0"/>
    <n v="100000"/>
    <n v="2"/>
    <x v="0"/>
    <s v="Management"/>
    <s v="Yes"/>
    <n v="4"/>
    <x v="4"/>
    <x v="0"/>
    <x v="14"/>
    <x v="1"/>
    <x v="0"/>
  </r>
  <r>
    <n v="14547"/>
    <x v="0"/>
    <x v="1"/>
    <n v="10000"/>
    <n v="2"/>
    <x v="1"/>
    <s v="Manual"/>
    <s v="Yes"/>
    <n v="0"/>
    <x v="3"/>
    <x v="0"/>
    <x v="36"/>
    <x v="1"/>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1"/>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1"/>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1"/>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1"/>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1"/>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1"/>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1"/>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1"/>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1"/>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1"/>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1"/>
    <x v="0"/>
  </r>
  <r>
    <n v="18935"/>
    <x v="0"/>
    <x v="0"/>
    <n v="130000"/>
    <n v="0"/>
    <x v="4"/>
    <s v="Management"/>
    <s v="Yes"/>
    <n v="3"/>
    <x v="3"/>
    <x v="2"/>
    <x v="8"/>
    <x v="0"/>
    <x v="0"/>
  </r>
  <r>
    <n v="16871"/>
    <x v="0"/>
    <x v="0"/>
    <n v="90000"/>
    <n v="2"/>
    <x v="2"/>
    <s v="Professional"/>
    <s v="Yes"/>
    <n v="1"/>
    <x v="4"/>
    <x v="2"/>
    <x v="36"/>
    <x v="1"/>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1"/>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1"/>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1"/>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1"/>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1"/>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1"/>
    <x v="1"/>
  </r>
  <r>
    <n v="12774"/>
    <x v="0"/>
    <x v="0"/>
    <n v="40000"/>
    <n v="1"/>
    <x v="1"/>
    <s v="Clerical"/>
    <s v="Yes"/>
    <n v="1"/>
    <x v="3"/>
    <x v="2"/>
    <x v="36"/>
    <x v="1"/>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1"/>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1"/>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1"/>
    <x v="0"/>
  </r>
  <r>
    <n v="27261"/>
    <x v="0"/>
    <x v="1"/>
    <n v="40000"/>
    <n v="1"/>
    <x v="0"/>
    <s v="Skilled Manual"/>
    <s v="No"/>
    <n v="1"/>
    <x v="0"/>
    <x v="2"/>
    <x v="4"/>
    <x v="0"/>
    <x v="1"/>
  </r>
  <r>
    <n v="18649"/>
    <x v="1"/>
    <x v="1"/>
    <n v="30000"/>
    <n v="1"/>
    <x v="2"/>
    <s v="Clerical"/>
    <s v="Yes"/>
    <n v="2"/>
    <x v="3"/>
    <x v="2"/>
    <x v="36"/>
    <x v="1"/>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1"/>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1"/>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1"/>
    <x v="0"/>
  </r>
  <r>
    <n v="12768"/>
    <x v="0"/>
    <x v="1"/>
    <n v="30000"/>
    <n v="1"/>
    <x v="2"/>
    <s v="Clerical"/>
    <s v="Yes"/>
    <n v="1"/>
    <x v="1"/>
    <x v="2"/>
    <x v="31"/>
    <x v="1"/>
    <x v="1"/>
  </r>
  <r>
    <n v="20361"/>
    <x v="0"/>
    <x v="1"/>
    <n v="50000"/>
    <n v="2"/>
    <x v="4"/>
    <s v="Management"/>
    <s v="Yes"/>
    <n v="2"/>
    <x v="2"/>
    <x v="2"/>
    <x v="45"/>
    <x v="1"/>
    <x v="0"/>
  </r>
  <r>
    <n v="21306"/>
    <x v="1"/>
    <x v="1"/>
    <n v="60000"/>
    <n v="2"/>
    <x v="2"/>
    <s v="Professional"/>
    <s v="Yes"/>
    <n v="2"/>
    <x v="2"/>
    <x v="2"/>
    <x v="36"/>
    <x v="1"/>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1"/>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1"/>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1"/>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1"/>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1"/>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1"/>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1"/>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1"/>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1"/>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1"/>
    <x v="1"/>
  </r>
  <r>
    <n v="23197"/>
    <x v="0"/>
    <x v="1"/>
    <n v="50000"/>
    <n v="3"/>
    <x v="0"/>
    <s v="Skilled Manual"/>
    <s v="Yes"/>
    <n v="2"/>
    <x v="1"/>
    <x v="2"/>
    <x v="8"/>
    <x v="0"/>
    <x v="0"/>
  </r>
  <r>
    <n v="14883"/>
    <x v="0"/>
    <x v="0"/>
    <n v="30000"/>
    <n v="1"/>
    <x v="0"/>
    <s v="Skilled Manual"/>
    <s v="Yes"/>
    <n v="1"/>
    <x v="2"/>
    <x v="2"/>
    <x v="39"/>
    <x v="1"/>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1"/>
    <x v="0"/>
  </r>
  <r>
    <n v="12153"/>
    <x v="1"/>
    <x v="0"/>
    <n v="70000"/>
    <n v="3"/>
    <x v="1"/>
    <s v="Professional"/>
    <s v="Yes"/>
    <n v="1"/>
    <x v="2"/>
    <x v="2"/>
    <x v="38"/>
    <x v="0"/>
    <x v="1"/>
  </r>
  <r>
    <n v="16895"/>
    <x v="0"/>
    <x v="0"/>
    <n v="40000"/>
    <n v="3"/>
    <x v="1"/>
    <s v="Professional"/>
    <s v="No"/>
    <n v="2"/>
    <x v="3"/>
    <x v="2"/>
    <x v="9"/>
    <x v="1"/>
    <x v="1"/>
  </r>
  <r>
    <n v="26728"/>
    <x v="1"/>
    <x v="1"/>
    <n v="70000"/>
    <n v="3"/>
    <x v="4"/>
    <s v="Management"/>
    <s v="No"/>
    <n v="2"/>
    <x v="3"/>
    <x v="2"/>
    <x v="39"/>
    <x v="1"/>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1"/>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1"/>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1"/>
    <x v="0"/>
  </r>
  <r>
    <n v="14887"/>
    <x v="0"/>
    <x v="0"/>
    <n v="30000"/>
    <n v="1"/>
    <x v="2"/>
    <s v="Clerical"/>
    <s v="Yes"/>
    <n v="1"/>
    <x v="2"/>
    <x v="2"/>
    <x v="31"/>
    <x v="1"/>
    <x v="0"/>
  </r>
  <r>
    <n v="11734"/>
    <x v="0"/>
    <x v="1"/>
    <n v="60000"/>
    <n v="1"/>
    <x v="1"/>
    <s v="Skilled Manual"/>
    <s v="No"/>
    <n v="1"/>
    <x v="0"/>
    <x v="2"/>
    <x v="15"/>
    <x v="0"/>
    <x v="0"/>
  </r>
  <r>
    <n v="17462"/>
    <x v="0"/>
    <x v="1"/>
    <n v="70000"/>
    <n v="3"/>
    <x v="4"/>
    <s v="Management"/>
    <s v="Yes"/>
    <n v="2"/>
    <x v="2"/>
    <x v="2"/>
    <x v="39"/>
    <x v="1"/>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1"/>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BAEA302-6645-48F1-BFA6-8F8BBEC64592}" name="PivotTable4"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55:D110" firstHeaderRow="1" firstDataRow="2" firstDataCol="1"/>
  <pivotFields count="14">
    <pivotField showAll="0"/>
    <pivotField showAll="0"/>
    <pivotField showAll="0"/>
    <pivotField numFmtId="165" showAll="0"/>
    <pivotField showAll="0"/>
    <pivotField showAll="0"/>
    <pivotField showAll="0"/>
    <pivotField showAll="0"/>
    <pivotField showAll="0"/>
    <pivotField showAll="0"/>
    <pivotField showAll="0"/>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92685D6-48A0-4954-AD3C-D0FCF8787F3F}" name="PivotTable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8:D43" firstHeaderRow="1" firstDataRow="2" firstDataCol="1"/>
  <pivotFields count="14">
    <pivotField showAll="0"/>
    <pivotField showAll="0">
      <items count="3">
        <item h="1"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h="1" x="0"/>
        <item h="1"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237E64D-BE39-445E-BBFE-1BE024930B47}"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0:D27" firstHeaderRow="1" firstDataRow="2" firstDataCol="1"/>
  <pivotFields count="14">
    <pivotField showAll="0"/>
    <pivotField showAll="0">
      <items count="3">
        <item h="1"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h="1" x="0"/>
        <item h="1"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FD90CDD-CBF0-46DB-81E2-C84260467A45}"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D5"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h="1" x="0"/>
        <item h="1"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92FD5F98-7266-4DA6-A06D-747992BD1B35}" sourceName="Marital Status">
  <pivotTables>
    <pivotTable tabId="3" name="PivotTable1"/>
    <pivotTable tabId="3" name="PivotTable2"/>
    <pivotTable tabId="3" name="PivotTable3"/>
  </pivotTables>
  <data>
    <tabular pivotCacheId="1578912624">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79AF9940-6B6C-4BB5-85D1-D9E1C6A6B1CD}" sourceName="Education">
  <pivotTables>
    <pivotTable tabId="3" name="PivotTable1"/>
    <pivotTable tabId="3" name="PivotTable2"/>
    <pivotTable tabId="3" name="PivotTable3"/>
  </pivotTables>
  <data>
    <tabular pivotCacheId="1578912624">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CFD20BD-6088-4BE5-BBCA-C01044A28DA8}" sourceName="Region">
  <pivotTables>
    <pivotTable tabId="3" name="PivotTable1"/>
    <pivotTable tabId="3" name="PivotTable2"/>
    <pivotTable tabId="3" name="PivotTable3"/>
  </pivotTables>
  <data>
    <tabular pivotCacheId="1578912624">
      <items count="3">
        <i x="0"/>
        <i x="2"/>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35A540E8-0A50-4585-A493-62F306CE0490}" cache="Slicer_Marital_Status" caption="Marital Status" rowHeight="234950"/>
  <slicer name="Education" xr10:uid="{FE36DE4D-C359-4C99-ABC9-9846D4A73991}" cache="Slicer_Education" caption="Education" rowHeight="234950"/>
  <slicer name="Region" xr10:uid="{D14B746F-AF84-43BA-BDA3-2312476653C3}" cache="Slicer_Region" caption="Region"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H31" sqref="H31"/>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D5EF85-6784-47BC-9037-5B422A0BE9CE}">
  <dimension ref="A1:D110"/>
  <sheetViews>
    <sheetView topLeftCell="A43" zoomScale="115" zoomScaleNormal="115" workbookViewId="0">
      <selection activeCell="A55" sqref="A55"/>
    </sheetView>
  </sheetViews>
  <sheetFormatPr defaultRowHeight="14.4" x14ac:dyDescent="0.3"/>
  <cols>
    <col min="1" max="1" width="21.88671875" bestFit="1" customWidth="1"/>
    <col min="2" max="2" width="15.5546875" bestFit="1" customWidth="1"/>
    <col min="3" max="3" width="3.77734375" bestFit="1" customWidth="1"/>
    <col min="4" max="4" width="10.77734375" bestFit="1" customWidth="1"/>
  </cols>
  <sheetData>
    <row r="1" spans="1:4" x14ac:dyDescent="0.3">
      <c r="A1" s="4" t="s">
        <v>43</v>
      </c>
      <c r="B1" s="4" t="s">
        <v>44</v>
      </c>
    </row>
    <row r="2" spans="1:4" x14ac:dyDescent="0.3">
      <c r="A2" s="4" t="s">
        <v>41</v>
      </c>
      <c r="B2" t="s">
        <v>18</v>
      </c>
      <c r="C2" t="s">
        <v>15</v>
      </c>
      <c r="D2" t="s">
        <v>42</v>
      </c>
    </row>
    <row r="3" spans="1:4" x14ac:dyDescent="0.3">
      <c r="A3" s="5" t="s">
        <v>39</v>
      </c>
      <c r="B3" s="3">
        <v>68421.052631578947</v>
      </c>
      <c r="C3" s="3">
        <v>64827.586206896551</v>
      </c>
      <c r="D3" s="3">
        <v>66250</v>
      </c>
    </row>
    <row r="4" spans="1:4" x14ac:dyDescent="0.3">
      <c r="A4" s="5" t="s">
        <v>38</v>
      </c>
      <c r="B4" s="3">
        <v>62500</v>
      </c>
      <c r="C4" s="3">
        <v>63636.36363636364</v>
      </c>
      <c r="D4" s="3">
        <v>63265.306122448979</v>
      </c>
    </row>
    <row r="5" spans="1:4" x14ac:dyDescent="0.3">
      <c r="A5" s="5" t="s">
        <v>42</v>
      </c>
      <c r="B5" s="3">
        <v>65714.28571428571</v>
      </c>
      <c r="C5" s="3">
        <v>64193.548387096773</v>
      </c>
      <c r="D5" s="3">
        <v>64742.268041237112</v>
      </c>
    </row>
    <row r="20" spans="1:4" x14ac:dyDescent="0.3">
      <c r="A20" s="4" t="s">
        <v>45</v>
      </c>
      <c r="B20" s="4" t="s">
        <v>44</v>
      </c>
    </row>
    <row r="21" spans="1:4" x14ac:dyDescent="0.3">
      <c r="A21" s="4" t="s">
        <v>41</v>
      </c>
      <c r="B21" t="s">
        <v>18</v>
      </c>
      <c r="C21" t="s">
        <v>15</v>
      </c>
      <c r="D21" t="s">
        <v>42</v>
      </c>
    </row>
    <row r="22" spans="1:4" x14ac:dyDescent="0.3">
      <c r="A22" s="5" t="s">
        <v>16</v>
      </c>
      <c r="B22" s="6">
        <v>4</v>
      </c>
      <c r="C22" s="6">
        <v>23</v>
      </c>
      <c r="D22" s="6">
        <v>27</v>
      </c>
    </row>
    <row r="23" spans="1:4" x14ac:dyDescent="0.3">
      <c r="A23" s="5" t="s">
        <v>26</v>
      </c>
      <c r="B23" s="6">
        <v>3</v>
      </c>
      <c r="C23" s="6">
        <v>6</v>
      </c>
      <c r="D23" s="6">
        <v>9</v>
      </c>
    </row>
    <row r="24" spans="1:4" x14ac:dyDescent="0.3">
      <c r="A24" s="5" t="s">
        <v>22</v>
      </c>
      <c r="B24" s="6">
        <v>3</v>
      </c>
      <c r="C24" s="6">
        <v>4</v>
      </c>
      <c r="D24" s="6">
        <v>7</v>
      </c>
    </row>
    <row r="25" spans="1:4" x14ac:dyDescent="0.3">
      <c r="A25" s="5" t="s">
        <v>23</v>
      </c>
      <c r="B25" s="6">
        <v>14</v>
      </c>
      <c r="C25" s="6">
        <v>21</v>
      </c>
      <c r="D25" s="6">
        <v>35</v>
      </c>
    </row>
    <row r="26" spans="1:4" x14ac:dyDescent="0.3">
      <c r="A26" s="5" t="s">
        <v>46</v>
      </c>
      <c r="B26" s="6">
        <v>11</v>
      </c>
      <c r="C26" s="6">
        <v>8</v>
      </c>
      <c r="D26" s="6">
        <v>19</v>
      </c>
    </row>
    <row r="27" spans="1:4" x14ac:dyDescent="0.3">
      <c r="A27" s="5" t="s">
        <v>42</v>
      </c>
      <c r="B27" s="6">
        <v>35</v>
      </c>
      <c r="C27" s="6">
        <v>62</v>
      </c>
      <c r="D27" s="6">
        <v>97</v>
      </c>
    </row>
    <row r="38" spans="1:4" x14ac:dyDescent="0.3">
      <c r="A38" s="4" t="s">
        <v>45</v>
      </c>
      <c r="B38" s="4" t="s">
        <v>44</v>
      </c>
    </row>
    <row r="39" spans="1:4" x14ac:dyDescent="0.3">
      <c r="A39" s="4" t="s">
        <v>41</v>
      </c>
      <c r="B39" t="s">
        <v>18</v>
      </c>
      <c r="C39" t="s">
        <v>15</v>
      </c>
      <c r="D39" t="s">
        <v>42</v>
      </c>
    </row>
    <row r="40" spans="1:4" x14ac:dyDescent="0.3">
      <c r="A40" s="5" t="s">
        <v>47</v>
      </c>
      <c r="B40" s="6"/>
      <c r="C40" s="6">
        <v>10</v>
      </c>
      <c r="D40" s="6">
        <v>10</v>
      </c>
    </row>
    <row r="41" spans="1:4" x14ac:dyDescent="0.3">
      <c r="A41" s="5" t="s">
        <v>48</v>
      </c>
      <c r="B41" s="6">
        <v>26</v>
      </c>
      <c r="C41" s="6">
        <v>38</v>
      </c>
      <c r="D41" s="6">
        <v>64</v>
      </c>
    </row>
    <row r="42" spans="1:4" x14ac:dyDescent="0.3">
      <c r="A42" s="5" t="s">
        <v>49</v>
      </c>
      <c r="B42" s="6">
        <v>9</v>
      </c>
      <c r="C42" s="6">
        <v>14</v>
      </c>
      <c r="D42" s="6">
        <v>23</v>
      </c>
    </row>
    <row r="43" spans="1:4" x14ac:dyDescent="0.3">
      <c r="A43" s="5" t="s">
        <v>42</v>
      </c>
      <c r="B43" s="6">
        <v>35</v>
      </c>
      <c r="C43" s="6">
        <v>62</v>
      </c>
      <c r="D43" s="6">
        <v>97</v>
      </c>
    </row>
    <row r="55" spans="1:4" x14ac:dyDescent="0.3">
      <c r="A55" s="4" t="s">
        <v>45</v>
      </c>
      <c r="B55" s="4" t="s">
        <v>44</v>
      </c>
    </row>
    <row r="56" spans="1:4" x14ac:dyDescent="0.3">
      <c r="A56" s="4" t="s">
        <v>41</v>
      </c>
      <c r="B56" t="s">
        <v>18</v>
      </c>
      <c r="C56" t="s">
        <v>15</v>
      </c>
      <c r="D56" t="s">
        <v>42</v>
      </c>
    </row>
    <row r="57" spans="1:4" x14ac:dyDescent="0.3">
      <c r="A57" s="5">
        <v>25</v>
      </c>
      <c r="B57" s="6">
        <v>2</v>
      </c>
      <c r="C57" s="6">
        <v>4</v>
      </c>
      <c r="D57" s="6">
        <v>6</v>
      </c>
    </row>
    <row r="58" spans="1:4" x14ac:dyDescent="0.3">
      <c r="A58" s="5">
        <v>26</v>
      </c>
      <c r="B58" s="6">
        <v>8</v>
      </c>
      <c r="C58" s="6">
        <v>8</v>
      </c>
      <c r="D58" s="6">
        <v>16</v>
      </c>
    </row>
    <row r="59" spans="1:4" x14ac:dyDescent="0.3">
      <c r="A59" s="5">
        <v>27</v>
      </c>
      <c r="B59" s="6">
        <v>15</v>
      </c>
      <c r="C59" s="6">
        <v>8</v>
      </c>
      <c r="D59" s="6">
        <v>23</v>
      </c>
    </row>
    <row r="60" spans="1:4" x14ac:dyDescent="0.3">
      <c r="A60" s="5">
        <v>28</v>
      </c>
      <c r="B60" s="6">
        <v>12</v>
      </c>
      <c r="C60" s="6">
        <v>10</v>
      </c>
      <c r="D60" s="6">
        <v>22</v>
      </c>
    </row>
    <row r="61" spans="1:4" x14ac:dyDescent="0.3">
      <c r="A61" s="5">
        <v>29</v>
      </c>
      <c r="B61" s="6">
        <v>11</v>
      </c>
      <c r="C61" s="6">
        <v>5</v>
      </c>
      <c r="D61" s="6">
        <v>16</v>
      </c>
    </row>
    <row r="62" spans="1:4" x14ac:dyDescent="0.3">
      <c r="A62" s="5">
        <v>30</v>
      </c>
      <c r="B62" s="6">
        <v>23</v>
      </c>
      <c r="C62" s="6">
        <v>4</v>
      </c>
      <c r="D62" s="6">
        <v>27</v>
      </c>
    </row>
    <row r="63" spans="1:4" x14ac:dyDescent="0.3">
      <c r="A63" s="5">
        <v>31</v>
      </c>
      <c r="B63" s="6">
        <v>17</v>
      </c>
      <c r="C63" s="6">
        <v>8</v>
      </c>
      <c r="D63" s="6">
        <v>25</v>
      </c>
    </row>
    <row r="64" spans="1:4" x14ac:dyDescent="0.3">
      <c r="A64" s="5">
        <v>32</v>
      </c>
      <c r="B64" s="6">
        <v>19</v>
      </c>
      <c r="C64" s="6">
        <v>14</v>
      </c>
      <c r="D64" s="6">
        <v>33</v>
      </c>
    </row>
    <row r="65" spans="1:4" x14ac:dyDescent="0.3">
      <c r="A65" s="5">
        <v>33</v>
      </c>
      <c r="B65" s="6">
        <v>8</v>
      </c>
      <c r="C65" s="6">
        <v>13</v>
      </c>
      <c r="D65" s="6">
        <v>21</v>
      </c>
    </row>
    <row r="66" spans="1:4" x14ac:dyDescent="0.3">
      <c r="A66" s="5">
        <v>34</v>
      </c>
      <c r="B66" s="6">
        <v>12</v>
      </c>
      <c r="C66" s="6">
        <v>19</v>
      </c>
      <c r="D66" s="6">
        <v>31</v>
      </c>
    </row>
    <row r="67" spans="1:4" x14ac:dyDescent="0.3">
      <c r="A67" s="5">
        <v>35</v>
      </c>
      <c r="B67" s="6">
        <v>14</v>
      </c>
      <c r="C67" s="6">
        <v>22</v>
      </c>
      <c r="D67" s="6">
        <v>36</v>
      </c>
    </row>
    <row r="68" spans="1:4" x14ac:dyDescent="0.3">
      <c r="A68" s="5">
        <v>36</v>
      </c>
      <c r="B68" s="6">
        <v>7</v>
      </c>
      <c r="C68" s="6">
        <v>30</v>
      </c>
      <c r="D68" s="6">
        <v>37</v>
      </c>
    </row>
    <row r="69" spans="1:4" x14ac:dyDescent="0.3">
      <c r="A69" s="5">
        <v>37</v>
      </c>
      <c r="B69" s="6">
        <v>4</v>
      </c>
      <c r="C69" s="6">
        <v>28</v>
      </c>
      <c r="D69" s="6">
        <v>32</v>
      </c>
    </row>
    <row r="70" spans="1:4" x14ac:dyDescent="0.3">
      <c r="A70" s="5">
        <v>38</v>
      </c>
      <c r="B70" s="6">
        <v>8</v>
      </c>
      <c r="C70" s="6">
        <v>29</v>
      </c>
      <c r="D70" s="6">
        <v>37</v>
      </c>
    </row>
    <row r="71" spans="1:4" x14ac:dyDescent="0.3">
      <c r="A71" s="5">
        <v>39</v>
      </c>
      <c r="B71" s="6">
        <v>10</v>
      </c>
      <c r="C71" s="6">
        <v>12</v>
      </c>
      <c r="D71" s="6">
        <v>22</v>
      </c>
    </row>
    <row r="72" spans="1:4" x14ac:dyDescent="0.3">
      <c r="A72" s="5">
        <v>40</v>
      </c>
      <c r="B72" s="6">
        <v>24</v>
      </c>
      <c r="C72" s="6">
        <v>18</v>
      </c>
      <c r="D72" s="6">
        <v>42</v>
      </c>
    </row>
    <row r="73" spans="1:4" x14ac:dyDescent="0.3">
      <c r="A73" s="5">
        <v>41</v>
      </c>
      <c r="B73" s="6">
        <v>13</v>
      </c>
      <c r="C73" s="6">
        <v>15</v>
      </c>
      <c r="D73" s="6">
        <v>28</v>
      </c>
    </row>
    <row r="74" spans="1:4" x14ac:dyDescent="0.3">
      <c r="A74" s="5">
        <v>42</v>
      </c>
      <c r="B74" s="6">
        <v>22</v>
      </c>
      <c r="C74" s="6">
        <v>12</v>
      </c>
      <c r="D74" s="6">
        <v>34</v>
      </c>
    </row>
    <row r="75" spans="1:4" x14ac:dyDescent="0.3">
      <c r="A75" s="5">
        <v>43</v>
      </c>
      <c r="B75" s="6">
        <v>17</v>
      </c>
      <c r="C75" s="6">
        <v>19</v>
      </c>
      <c r="D75" s="6">
        <v>36</v>
      </c>
    </row>
    <row r="76" spans="1:4" x14ac:dyDescent="0.3">
      <c r="A76" s="5">
        <v>44</v>
      </c>
      <c r="B76" s="6">
        <v>15</v>
      </c>
      <c r="C76" s="6">
        <v>12</v>
      </c>
      <c r="D76" s="6">
        <v>27</v>
      </c>
    </row>
    <row r="77" spans="1:4" x14ac:dyDescent="0.3">
      <c r="A77" s="5">
        <v>45</v>
      </c>
      <c r="B77" s="6">
        <v>18</v>
      </c>
      <c r="C77" s="6">
        <v>13</v>
      </c>
      <c r="D77" s="6">
        <v>31</v>
      </c>
    </row>
    <row r="78" spans="1:4" x14ac:dyDescent="0.3">
      <c r="A78" s="5">
        <v>46</v>
      </c>
      <c r="B78" s="6">
        <v>12</v>
      </c>
      <c r="C78" s="6">
        <v>15</v>
      </c>
      <c r="D78" s="6">
        <v>27</v>
      </c>
    </row>
    <row r="79" spans="1:4" x14ac:dyDescent="0.3">
      <c r="A79" s="5">
        <v>47</v>
      </c>
      <c r="B79" s="6">
        <v>19</v>
      </c>
      <c r="C79" s="6">
        <v>20</v>
      </c>
      <c r="D79" s="6">
        <v>39</v>
      </c>
    </row>
    <row r="80" spans="1:4" x14ac:dyDescent="0.3">
      <c r="A80" s="5">
        <v>48</v>
      </c>
      <c r="B80" s="6">
        <v>16</v>
      </c>
      <c r="C80" s="6">
        <v>13</v>
      </c>
      <c r="D80" s="6">
        <v>29</v>
      </c>
    </row>
    <row r="81" spans="1:4" x14ac:dyDescent="0.3">
      <c r="A81" s="5">
        <v>49</v>
      </c>
      <c r="B81" s="6">
        <v>15</v>
      </c>
      <c r="C81" s="6">
        <v>8</v>
      </c>
      <c r="D81" s="6">
        <v>23</v>
      </c>
    </row>
    <row r="82" spans="1:4" x14ac:dyDescent="0.3">
      <c r="A82" s="5">
        <v>50</v>
      </c>
      <c r="B82" s="6">
        <v>12</v>
      </c>
      <c r="C82" s="6">
        <v>12</v>
      </c>
      <c r="D82" s="6">
        <v>24</v>
      </c>
    </row>
    <row r="83" spans="1:4" x14ac:dyDescent="0.3">
      <c r="A83" s="5">
        <v>51</v>
      </c>
      <c r="B83" s="6">
        <v>10</v>
      </c>
      <c r="C83" s="6">
        <v>12</v>
      </c>
      <c r="D83" s="6">
        <v>22</v>
      </c>
    </row>
    <row r="84" spans="1:4" x14ac:dyDescent="0.3">
      <c r="A84" s="5">
        <v>52</v>
      </c>
      <c r="B84" s="6">
        <v>10</v>
      </c>
      <c r="C84" s="6">
        <v>15</v>
      </c>
      <c r="D84" s="6">
        <v>25</v>
      </c>
    </row>
    <row r="85" spans="1:4" x14ac:dyDescent="0.3">
      <c r="A85" s="5">
        <v>53</v>
      </c>
      <c r="B85" s="6">
        <v>11</v>
      </c>
      <c r="C85" s="6">
        <v>13</v>
      </c>
      <c r="D85" s="6">
        <v>24</v>
      </c>
    </row>
    <row r="86" spans="1:4" x14ac:dyDescent="0.3">
      <c r="A86" s="5">
        <v>54</v>
      </c>
      <c r="B86" s="6">
        <v>5</v>
      </c>
      <c r="C86" s="6">
        <v>11</v>
      </c>
      <c r="D86" s="6">
        <v>16</v>
      </c>
    </row>
    <row r="87" spans="1:4" x14ac:dyDescent="0.3">
      <c r="A87" s="5">
        <v>55</v>
      </c>
      <c r="B87" s="6">
        <v>13</v>
      </c>
      <c r="C87" s="6">
        <v>5</v>
      </c>
      <c r="D87" s="6">
        <v>18</v>
      </c>
    </row>
    <row r="88" spans="1:4" x14ac:dyDescent="0.3">
      <c r="A88" s="5">
        <v>56</v>
      </c>
      <c r="B88" s="6">
        <v>13</v>
      </c>
      <c r="C88" s="6">
        <v>3</v>
      </c>
      <c r="D88" s="6">
        <v>16</v>
      </c>
    </row>
    <row r="89" spans="1:4" x14ac:dyDescent="0.3">
      <c r="A89" s="5">
        <v>57</v>
      </c>
      <c r="B89" s="6">
        <v>4</v>
      </c>
      <c r="C89" s="6">
        <v>4</v>
      </c>
      <c r="D89" s="6">
        <v>8</v>
      </c>
    </row>
    <row r="90" spans="1:4" x14ac:dyDescent="0.3">
      <c r="A90" s="5">
        <v>58</v>
      </c>
      <c r="B90" s="6">
        <v>8</v>
      </c>
      <c r="C90" s="6">
        <v>4</v>
      </c>
      <c r="D90" s="6">
        <v>12</v>
      </c>
    </row>
    <row r="91" spans="1:4" x14ac:dyDescent="0.3">
      <c r="A91" s="5">
        <v>59</v>
      </c>
      <c r="B91" s="6">
        <v>14</v>
      </c>
      <c r="C91" s="6">
        <v>6</v>
      </c>
      <c r="D91" s="6">
        <v>20</v>
      </c>
    </row>
    <row r="92" spans="1:4" x14ac:dyDescent="0.3">
      <c r="A92" s="5">
        <v>60</v>
      </c>
      <c r="B92" s="6">
        <v>8</v>
      </c>
      <c r="C92" s="6">
        <v>7</v>
      </c>
      <c r="D92" s="6">
        <v>15</v>
      </c>
    </row>
    <row r="93" spans="1:4" x14ac:dyDescent="0.3">
      <c r="A93" s="5">
        <v>61</v>
      </c>
      <c r="B93" s="6">
        <v>5</v>
      </c>
      <c r="C93" s="6">
        <v>4</v>
      </c>
      <c r="D93" s="6">
        <v>9</v>
      </c>
    </row>
    <row r="94" spans="1:4" x14ac:dyDescent="0.3">
      <c r="A94" s="5">
        <v>62</v>
      </c>
      <c r="B94" s="6">
        <v>9</v>
      </c>
      <c r="C94" s="6">
        <v>4</v>
      </c>
      <c r="D94" s="6">
        <v>13</v>
      </c>
    </row>
    <row r="95" spans="1:4" x14ac:dyDescent="0.3">
      <c r="A95" s="5">
        <v>63</v>
      </c>
      <c r="B95" s="6">
        <v>7</v>
      </c>
      <c r="C95" s="6">
        <v>2</v>
      </c>
      <c r="D95" s="6">
        <v>9</v>
      </c>
    </row>
    <row r="96" spans="1:4" x14ac:dyDescent="0.3">
      <c r="A96" s="5">
        <v>64</v>
      </c>
      <c r="B96" s="6">
        <v>7</v>
      </c>
      <c r="C96" s="6">
        <v>3</v>
      </c>
      <c r="D96" s="6">
        <v>10</v>
      </c>
    </row>
    <row r="97" spans="1:4" x14ac:dyDescent="0.3">
      <c r="A97" s="5">
        <v>65</v>
      </c>
      <c r="B97" s="6">
        <v>6</v>
      </c>
      <c r="C97" s="6">
        <v>3</v>
      </c>
      <c r="D97" s="6">
        <v>9</v>
      </c>
    </row>
    <row r="98" spans="1:4" x14ac:dyDescent="0.3">
      <c r="A98" s="5">
        <v>66</v>
      </c>
      <c r="B98" s="6">
        <v>8</v>
      </c>
      <c r="C98" s="6">
        <v>6</v>
      </c>
      <c r="D98" s="6">
        <v>14</v>
      </c>
    </row>
    <row r="99" spans="1:4" x14ac:dyDescent="0.3">
      <c r="A99" s="5">
        <v>67</v>
      </c>
      <c r="B99" s="6">
        <v>8</v>
      </c>
      <c r="C99" s="6">
        <v>2</v>
      </c>
      <c r="D99" s="6">
        <v>10</v>
      </c>
    </row>
    <row r="100" spans="1:4" x14ac:dyDescent="0.3">
      <c r="A100" s="5">
        <v>68</v>
      </c>
      <c r="B100" s="6">
        <v>3</v>
      </c>
      <c r="C100" s="6"/>
      <c r="D100" s="6">
        <v>3</v>
      </c>
    </row>
    <row r="101" spans="1:4" x14ac:dyDescent="0.3">
      <c r="A101" s="5">
        <v>69</v>
      </c>
      <c r="B101" s="6">
        <v>8</v>
      </c>
      <c r="C101" s="6"/>
      <c r="D101" s="6">
        <v>8</v>
      </c>
    </row>
    <row r="102" spans="1:4" x14ac:dyDescent="0.3">
      <c r="A102" s="5">
        <v>70</v>
      </c>
      <c r="B102" s="6">
        <v>3</v>
      </c>
      <c r="C102" s="6">
        <v>1</v>
      </c>
      <c r="D102" s="6">
        <v>4</v>
      </c>
    </row>
    <row r="103" spans="1:4" x14ac:dyDescent="0.3">
      <c r="A103" s="5">
        <v>71</v>
      </c>
      <c r="B103" s="6">
        <v>1</v>
      </c>
      <c r="C103" s="6"/>
      <c r="D103" s="6">
        <v>1</v>
      </c>
    </row>
    <row r="104" spans="1:4" x14ac:dyDescent="0.3">
      <c r="A104" s="5">
        <v>72</v>
      </c>
      <c r="B104" s="6"/>
      <c r="C104" s="6">
        <v>1</v>
      </c>
      <c r="D104" s="6">
        <v>1</v>
      </c>
    </row>
    <row r="105" spans="1:4" x14ac:dyDescent="0.3">
      <c r="A105" s="5">
        <v>73</v>
      </c>
      <c r="B105" s="6">
        <v>2</v>
      </c>
      <c r="C105" s="6">
        <v>2</v>
      </c>
      <c r="D105" s="6">
        <v>4</v>
      </c>
    </row>
    <row r="106" spans="1:4" x14ac:dyDescent="0.3">
      <c r="A106" s="5">
        <v>74</v>
      </c>
      <c r="B106" s="6"/>
      <c r="C106" s="6">
        <v>1</v>
      </c>
      <c r="D106" s="6">
        <v>1</v>
      </c>
    </row>
    <row r="107" spans="1:4" x14ac:dyDescent="0.3">
      <c r="A107" s="5">
        <v>78</v>
      </c>
      <c r="B107" s="6">
        <v>1</v>
      </c>
      <c r="C107" s="6">
        <v>1</v>
      </c>
      <c r="D107" s="6">
        <v>2</v>
      </c>
    </row>
    <row r="108" spans="1:4" x14ac:dyDescent="0.3">
      <c r="A108" s="5">
        <v>80</v>
      </c>
      <c r="B108" s="6">
        <v>1</v>
      </c>
      <c r="C108" s="6"/>
      <c r="D108" s="6">
        <v>1</v>
      </c>
    </row>
    <row r="109" spans="1:4" x14ac:dyDescent="0.3">
      <c r="A109" s="5">
        <v>89</v>
      </c>
      <c r="B109" s="6">
        <v>1</v>
      </c>
      <c r="C109" s="6"/>
      <c r="D109" s="6">
        <v>1</v>
      </c>
    </row>
    <row r="110" spans="1:4" x14ac:dyDescent="0.3">
      <c r="A110" s="5" t="s">
        <v>42</v>
      </c>
      <c r="B110" s="6">
        <v>519</v>
      </c>
      <c r="C110" s="6">
        <v>481</v>
      </c>
      <c r="D110" s="6">
        <v>1000</v>
      </c>
    </row>
  </sheetData>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C2EA26-2EE5-46E2-9AC4-2C03F61748E1}">
  <dimension ref="A1:N1001"/>
  <sheetViews>
    <sheetView topLeftCell="C22" workbookViewId="0">
      <selection activeCell="J1" sqref="J1:J1048576"/>
    </sheetView>
  </sheetViews>
  <sheetFormatPr defaultColWidth="11.88671875" defaultRowHeight="14.4" x14ac:dyDescent="0.3"/>
  <cols>
    <col min="1" max="3" width="18.5546875" customWidth="1"/>
    <col min="4" max="4" width="18.5546875" style="3" customWidth="1"/>
    <col min="5" max="14" width="18.5546875" customWidth="1"/>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39</v>
      </c>
      <c r="D2" s="3">
        <v>40000</v>
      </c>
      <c r="E2">
        <v>1</v>
      </c>
      <c r="F2" t="s">
        <v>13</v>
      </c>
      <c r="G2" t="s">
        <v>14</v>
      </c>
      <c r="H2" t="s">
        <v>15</v>
      </c>
      <c r="I2">
        <v>0</v>
      </c>
      <c r="J2" t="s">
        <v>16</v>
      </c>
      <c r="K2" t="s">
        <v>17</v>
      </c>
      <c r="L2">
        <v>42</v>
      </c>
      <c r="M2" t="str">
        <f>IF(L2&gt;50,"Old",IF(L2&gt;=31,"Middle Age",IF(L2&lt;31,"Adolescent","Invalid")))</f>
        <v>Middle Age</v>
      </c>
      <c r="N2" t="s">
        <v>18</v>
      </c>
    </row>
    <row r="3" spans="1:14" x14ac:dyDescent="0.3">
      <c r="A3">
        <v>24107</v>
      </c>
      <c r="B3" t="s">
        <v>36</v>
      </c>
      <c r="C3" t="s">
        <v>38</v>
      </c>
      <c r="D3" s="3">
        <v>30000</v>
      </c>
      <c r="E3">
        <v>3</v>
      </c>
      <c r="F3" t="s">
        <v>19</v>
      </c>
      <c r="G3" t="s">
        <v>20</v>
      </c>
      <c r="H3" t="s">
        <v>15</v>
      </c>
      <c r="I3">
        <v>1</v>
      </c>
      <c r="J3" t="s">
        <v>16</v>
      </c>
      <c r="K3" t="s">
        <v>17</v>
      </c>
      <c r="L3">
        <v>43</v>
      </c>
      <c r="M3" t="str">
        <f t="shared" ref="M3:M66" si="0">IF(L3&gt;50,"Old",IF(L3&gt;=31,"Middle Age",IF(L3&lt;31,"Adolescent","Invalid")))</f>
        <v>Middle Age</v>
      </c>
      <c r="N3" t="s">
        <v>18</v>
      </c>
    </row>
    <row r="4" spans="1:14" x14ac:dyDescent="0.3">
      <c r="A4">
        <v>14177</v>
      </c>
      <c r="B4" t="s">
        <v>36</v>
      </c>
      <c r="C4" t="s">
        <v>38</v>
      </c>
      <c r="D4" s="3">
        <v>80000</v>
      </c>
      <c r="E4">
        <v>5</v>
      </c>
      <c r="F4" t="s">
        <v>19</v>
      </c>
      <c r="G4" t="s">
        <v>21</v>
      </c>
      <c r="H4" t="s">
        <v>18</v>
      </c>
      <c r="I4">
        <v>2</v>
      </c>
      <c r="J4" t="s">
        <v>22</v>
      </c>
      <c r="K4" t="s">
        <v>17</v>
      </c>
      <c r="L4">
        <v>60</v>
      </c>
      <c r="M4" t="str">
        <f t="shared" si="0"/>
        <v>Old</v>
      </c>
      <c r="N4" t="s">
        <v>18</v>
      </c>
    </row>
    <row r="5" spans="1:14" x14ac:dyDescent="0.3">
      <c r="A5">
        <v>24381</v>
      </c>
      <c r="B5" t="s">
        <v>37</v>
      </c>
      <c r="C5" t="s">
        <v>38</v>
      </c>
      <c r="D5" s="3">
        <v>70000</v>
      </c>
      <c r="E5">
        <v>0</v>
      </c>
      <c r="F5" t="s">
        <v>13</v>
      </c>
      <c r="G5" t="s">
        <v>21</v>
      </c>
      <c r="H5" t="s">
        <v>15</v>
      </c>
      <c r="I5">
        <v>1</v>
      </c>
      <c r="J5" t="s">
        <v>23</v>
      </c>
      <c r="K5" t="s">
        <v>24</v>
      </c>
      <c r="L5">
        <v>41</v>
      </c>
      <c r="M5" t="str">
        <f t="shared" si="0"/>
        <v>Middle Age</v>
      </c>
      <c r="N5" t="s">
        <v>15</v>
      </c>
    </row>
    <row r="6" spans="1:14" x14ac:dyDescent="0.3">
      <c r="A6">
        <v>25597</v>
      </c>
      <c r="B6" t="s">
        <v>37</v>
      </c>
      <c r="C6" t="s">
        <v>38</v>
      </c>
      <c r="D6" s="3">
        <v>30000</v>
      </c>
      <c r="E6">
        <v>0</v>
      </c>
      <c r="F6" t="s">
        <v>13</v>
      </c>
      <c r="G6" t="s">
        <v>20</v>
      </c>
      <c r="H6" t="s">
        <v>18</v>
      </c>
      <c r="I6">
        <v>0</v>
      </c>
      <c r="J6" t="s">
        <v>16</v>
      </c>
      <c r="K6" t="s">
        <v>17</v>
      </c>
      <c r="L6">
        <v>36</v>
      </c>
      <c r="M6" t="str">
        <f t="shared" si="0"/>
        <v>Middle Age</v>
      </c>
      <c r="N6" t="s">
        <v>15</v>
      </c>
    </row>
    <row r="7" spans="1:14" x14ac:dyDescent="0.3">
      <c r="A7">
        <v>13507</v>
      </c>
      <c r="B7" t="s">
        <v>36</v>
      </c>
      <c r="C7" t="s">
        <v>39</v>
      </c>
      <c r="D7" s="3">
        <v>10000</v>
      </c>
      <c r="E7">
        <v>2</v>
      </c>
      <c r="F7" t="s">
        <v>19</v>
      </c>
      <c r="G7" t="s">
        <v>25</v>
      </c>
      <c r="H7" t="s">
        <v>15</v>
      </c>
      <c r="I7">
        <v>0</v>
      </c>
      <c r="J7" t="s">
        <v>26</v>
      </c>
      <c r="K7" t="s">
        <v>17</v>
      </c>
      <c r="L7">
        <v>50</v>
      </c>
      <c r="M7" t="str">
        <f t="shared" si="0"/>
        <v>Middle Age</v>
      </c>
      <c r="N7" t="s">
        <v>18</v>
      </c>
    </row>
    <row r="8" spans="1:14" x14ac:dyDescent="0.3">
      <c r="A8">
        <v>27974</v>
      </c>
      <c r="B8" t="s">
        <v>37</v>
      </c>
      <c r="C8" t="s">
        <v>38</v>
      </c>
      <c r="D8" s="3">
        <v>160000</v>
      </c>
      <c r="E8">
        <v>2</v>
      </c>
      <c r="F8" t="s">
        <v>27</v>
      </c>
      <c r="G8" t="s">
        <v>28</v>
      </c>
      <c r="H8" t="s">
        <v>15</v>
      </c>
      <c r="I8">
        <v>4</v>
      </c>
      <c r="J8" t="s">
        <v>16</v>
      </c>
      <c r="K8" t="s">
        <v>24</v>
      </c>
      <c r="L8">
        <v>33</v>
      </c>
      <c r="M8" t="str">
        <f t="shared" si="0"/>
        <v>Middle Age</v>
      </c>
      <c r="N8" t="s">
        <v>15</v>
      </c>
    </row>
    <row r="9" spans="1:14" x14ac:dyDescent="0.3">
      <c r="A9">
        <v>19364</v>
      </c>
      <c r="B9" t="s">
        <v>36</v>
      </c>
      <c r="C9" t="s">
        <v>38</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39</v>
      </c>
      <c r="D12" s="3">
        <v>30000</v>
      </c>
      <c r="E12">
        <v>3</v>
      </c>
      <c r="F12" t="s">
        <v>27</v>
      </c>
      <c r="G12" t="s">
        <v>14</v>
      </c>
      <c r="H12" t="s">
        <v>18</v>
      </c>
      <c r="I12">
        <v>2</v>
      </c>
      <c r="J12" t="s">
        <v>26</v>
      </c>
      <c r="K12" t="s">
        <v>24</v>
      </c>
      <c r="L12">
        <v>54</v>
      </c>
      <c r="M12" t="str">
        <f t="shared" si="0"/>
        <v>Old</v>
      </c>
      <c r="N12" t="s">
        <v>15</v>
      </c>
    </row>
    <row r="13" spans="1:14" x14ac:dyDescent="0.3">
      <c r="A13">
        <v>12697</v>
      </c>
      <c r="B13" t="s">
        <v>37</v>
      </c>
      <c r="C13" t="s">
        <v>39</v>
      </c>
      <c r="D13" s="3">
        <v>90000</v>
      </c>
      <c r="E13">
        <v>0</v>
      </c>
      <c r="F13" t="s">
        <v>13</v>
      </c>
      <c r="G13" t="s">
        <v>21</v>
      </c>
      <c r="H13" t="s">
        <v>18</v>
      </c>
      <c r="I13">
        <v>4</v>
      </c>
      <c r="J13" t="s">
        <v>46</v>
      </c>
      <c r="K13" t="s">
        <v>24</v>
      </c>
      <c r="L13">
        <v>36</v>
      </c>
      <c r="M13" t="str">
        <f t="shared" si="0"/>
        <v>Middle Age</v>
      </c>
      <c r="N13" t="s">
        <v>18</v>
      </c>
    </row>
    <row r="14" spans="1:14" x14ac:dyDescent="0.3">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39</v>
      </c>
      <c r="D23" s="3">
        <v>80000</v>
      </c>
      <c r="E23">
        <v>0</v>
      </c>
      <c r="F23" t="s">
        <v>13</v>
      </c>
      <c r="G23" t="s">
        <v>21</v>
      </c>
      <c r="H23" t="s">
        <v>15</v>
      </c>
      <c r="I23">
        <v>4</v>
      </c>
      <c r="J23" t="s">
        <v>46</v>
      </c>
      <c r="K23" t="s">
        <v>24</v>
      </c>
      <c r="L23">
        <v>35</v>
      </c>
      <c r="M23" t="str">
        <f t="shared" si="0"/>
        <v>Middle Age</v>
      </c>
      <c r="N23" t="s">
        <v>18</v>
      </c>
    </row>
    <row r="24" spans="1:14" x14ac:dyDescent="0.3">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39</v>
      </c>
      <c r="D49" s="3">
        <v>40000</v>
      </c>
      <c r="E49">
        <v>2</v>
      </c>
      <c r="F49" t="s">
        <v>19</v>
      </c>
      <c r="G49" t="s">
        <v>14</v>
      </c>
      <c r="H49" t="s">
        <v>15</v>
      </c>
      <c r="I49">
        <v>2</v>
      </c>
      <c r="J49" t="s">
        <v>23</v>
      </c>
      <c r="K49" t="s">
        <v>24</v>
      </c>
      <c r="L49">
        <v>52</v>
      </c>
      <c r="M49" t="str">
        <f t="shared" si="0"/>
        <v>Old</v>
      </c>
      <c r="N49" t="s">
        <v>15</v>
      </c>
    </row>
    <row r="50" spans="1:14" x14ac:dyDescent="0.3">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38</v>
      </c>
      <c r="D53" s="3">
        <v>80000</v>
      </c>
      <c r="E53">
        <v>0</v>
      </c>
      <c r="F53" t="s">
        <v>13</v>
      </c>
      <c r="G53" t="s">
        <v>21</v>
      </c>
      <c r="H53" t="s">
        <v>18</v>
      </c>
      <c r="I53">
        <v>4</v>
      </c>
      <c r="J53" t="s">
        <v>46</v>
      </c>
      <c r="K53" t="s">
        <v>24</v>
      </c>
      <c r="L53">
        <v>35</v>
      </c>
      <c r="M53" t="str">
        <f t="shared" si="0"/>
        <v>Middle Age</v>
      </c>
      <c r="N53" t="s">
        <v>18</v>
      </c>
    </row>
    <row r="54" spans="1:14" x14ac:dyDescent="0.3">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38</v>
      </c>
      <c r="D57" s="3">
        <v>80000</v>
      </c>
      <c r="E57">
        <v>4</v>
      </c>
      <c r="F57" t="s">
        <v>27</v>
      </c>
      <c r="G57" t="s">
        <v>21</v>
      </c>
      <c r="H57" t="s">
        <v>15</v>
      </c>
      <c r="I57">
        <v>2</v>
      </c>
      <c r="J57" t="s">
        <v>46</v>
      </c>
      <c r="K57" t="s">
        <v>17</v>
      </c>
      <c r="L57">
        <v>54</v>
      </c>
      <c r="M57" t="str">
        <f t="shared" si="0"/>
        <v>Old</v>
      </c>
      <c r="N57" t="s">
        <v>18</v>
      </c>
    </row>
    <row r="58" spans="1:14" x14ac:dyDescent="0.3">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38</v>
      </c>
      <c r="D64" s="3">
        <v>40000</v>
      </c>
      <c r="E64">
        <v>2</v>
      </c>
      <c r="F64" t="s">
        <v>13</v>
      </c>
      <c r="G64" t="s">
        <v>28</v>
      </c>
      <c r="H64" t="s">
        <v>15</v>
      </c>
      <c r="I64">
        <v>1</v>
      </c>
      <c r="J64" t="s">
        <v>16</v>
      </c>
      <c r="K64" t="s">
        <v>24</v>
      </c>
      <c r="L64">
        <v>52</v>
      </c>
      <c r="M64" t="str">
        <f t="shared" si="0"/>
        <v>Old</v>
      </c>
      <c r="N64" t="s">
        <v>15</v>
      </c>
    </row>
    <row r="65" spans="1:14" x14ac:dyDescent="0.3">
      <c r="A65">
        <v>16185</v>
      </c>
      <c r="B65" t="s">
        <v>37</v>
      </c>
      <c r="C65" t="s">
        <v>38</v>
      </c>
      <c r="D65" s="3">
        <v>60000</v>
      </c>
      <c r="E65">
        <v>4</v>
      </c>
      <c r="F65" t="s">
        <v>13</v>
      </c>
      <c r="G65" t="s">
        <v>21</v>
      </c>
      <c r="H65" t="s">
        <v>15</v>
      </c>
      <c r="I65">
        <v>3</v>
      </c>
      <c r="J65" t="s">
        <v>46</v>
      </c>
      <c r="K65" t="s">
        <v>24</v>
      </c>
      <c r="L65">
        <v>41</v>
      </c>
      <c r="M65" t="str">
        <f t="shared" si="0"/>
        <v>Middle Age</v>
      </c>
      <c r="N65" t="s">
        <v>18</v>
      </c>
    </row>
    <row r="66" spans="1:14" x14ac:dyDescent="0.3">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38</v>
      </c>
      <c r="D67" s="3">
        <v>30000</v>
      </c>
      <c r="E67">
        <v>2</v>
      </c>
      <c r="F67" t="s">
        <v>19</v>
      </c>
      <c r="G67" t="s">
        <v>20</v>
      </c>
      <c r="H67" t="s">
        <v>15</v>
      </c>
      <c r="I67">
        <v>2</v>
      </c>
      <c r="J67" t="s">
        <v>23</v>
      </c>
      <c r="K67" t="s">
        <v>24</v>
      </c>
      <c r="L67">
        <v>68</v>
      </c>
      <c r="M67" t="str">
        <f t="shared" ref="M67:M130" si="1">IF(L67&gt;50,"Old",IF(L67&gt;=31,"Middle Age",IF(L67&lt;31,"Adolescent","Invalid")))</f>
        <v>Old</v>
      </c>
      <c r="N67" t="s">
        <v>18</v>
      </c>
    </row>
    <row r="68" spans="1:14" x14ac:dyDescent="0.3">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38</v>
      </c>
      <c r="D72" s="3">
        <v>120000</v>
      </c>
      <c r="E72">
        <v>0</v>
      </c>
      <c r="F72" t="s">
        <v>29</v>
      </c>
      <c r="G72" t="s">
        <v>21</v>
      </c>
      <c r="H72" t="s">
        <v>15</v>
      </c>
      <c r="I72">
        <v>4</v>
      </c>
      <c r="J72" t="s">
        <v>46</v>
      </c>
      <c r="K72" t="s">
        <v>24</v>
      </c>
      <c r="L72">
        <v>36</v>
      </c>
      <c r="M72" t="str">
        <f t="shared" si="1"/>
        <v>Middle Age</v>
      </c>
      <c r="N72" t="s">
        <v>15</v>
      </c>
    </row>
    <row r="73" spans="1:14" x14ac:dyDescent="0.3">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39</v>
      </c>
      <c r="D74" s="3">
        <v>130000</v>
      </c>
      <c r="E74">
        <v>3</v>
      </c>
      <c r="F74" t="s">
        <v>27</v>
      </c>
      <c r="G74" t="s">
        <v>21</v>
      </c>
      <c r="H74" t="s">
        <v>15</v>
      </c>
      <c r="I74">
        <v>4</v>
      </c>
      <c r="J74" t="s">
        <v>16</v>
      </c>
      <c r="K74" t="s">
        <v>17</v>
      </c>
      <c r="L74">
        <v>52</v>
      </c>
      <c r="M74" t="str">
        <f t="shared" si="1"/>
        <v>Old</v>
      </c>
      <c r="N74" t="s">
        <v>18</v>
      </c>
    </row>
    <row r="75" spans="1:14" x14ac:dyDescent="0.3">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38</v>
      </c>
      <c r="D79" s="3">
        <v>80000</v>
      </c>
      <c r="E79">
        <v>0</v>
      </c>
      <c r="F79" t="s">
        <v>13</v>
      </c>
      <c r="G79" t="s">
        <v>21</v>
      </c>
      <c r="H79" t="s">
        <v>15</v>
      </c>
      <c r="I79">
        <v>2</v>
      </c>
      <c r="J79" t="s">
        <v>46</v>
      </c>
      <c r="K79" t="s">
        <v>24</v>
      </c>
      <c r="L79">
        <v>29</v>
      </c>
      <c r="M79" t="str">
        <f t="shared" si="1"/>
        <v>Adolescent</v>
      </c>
      <c r="N79" t="s">
        <v>15</v>
      </c>
    </row>
    <row r="80" spans="1:14" x14ac:dyDescent="0.3">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38</v>
      </c>
      <c r="D86" s="3">
        <v>40000</v>
      </c>
      <c r="E86">
        <v>2</v>
      </c>
      <c r="F86" t="s">
        <v>13</v>
      </c>
      <c r="G86" t="s">
        <v>28</v>
      </c>
      <c r="H86" t="s">
        <v>18</v>
      </c>
      <c r="I86">
        <v>1</v>
      </c>
      <c r="J86" t="s">
        <v>23</v>
      </c>
      <c r="K86" t="s">
        <v>24</v>
      </c>
      <c r="L86">
        <v>52</v>
      </c>
      <c r="M86" t="str">
        <f t="shared" si="1"/>
        <v>Old</v>
      </c>
      <c r="N86" t="s">
        <v>15</v>
      </c>
    </row>
    <row r="87" spans="1:14" x14ac:dyDescent="0.3">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38</v>
      </c>
      <c r="D88" s="3">
        <v>130000</v>
      </c>
      <c r="E88">
        <v>3</v>
      </c>
      <c r="F88" t="s">
        <v>19</v>
      </c>
      <c r="G88" t="s">
        <v>21</v>
      </c>
      <c r="H88" t="s">
        <v>18</v>
      </c>
      <c r="I88">
        <v>3</v>
      </c>
      <c r="J88" t="s">
        <v>16</v>
      </c>
      <c r="K88" t="s">
        <v>17</v>
      </c>
      <c r="L88">
        <v>51</v>
      </c>
      <c r="M88" t="str">
        <f t="shared" si="1"/>
        <v>Old</v>
      </c>
      <c r="N88" t="s">
        <v>15</v>
      </c>
    </row>
    <row r="89" spans="1:14" x14ac:dyDescent="0.3">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39</v>
      </c>
      <c r="D97" s="3">
        <v>90000</v>
      </c>
      <c r="E97">
        <v>5</v>
      </c>
      <c r="F97" t="s">
        <v>19</v>
      </c>
      <c r="G97" t="s">
        <v>21</v>
      </c>
      <c r="H97" t="s">
        <v>15</v>
      </c>
      <c r="I97">
        <v>2</v>
      </c>
      <c r="J97" t="s">
        <v>46</v>
      </c>
      <c r="K97" t="s">
        <v>17</v>
      </c>
      <c r="L97">
        <v>62</v>
      </c>
      <c r="M97" t="str">
        <f t="shared" si="1"/>
        <v>Old</v>
      </c>
      <c r="N97" t="s">
        <v>18</v>
      </c>
    </row>
    <row r="98" spans="1:14" x14ac:dyDescent="0.3">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38</v>
      </c>
      <c r="D108" s="3">
        <v>70000</v>
      </c>
      <c r="E108">
        <v>2</v>
      </c>
      <c r="F108" t="s">
        <v>19</v>
      </c>
      <c r="G108" t="s">
        <v>14</v>
      </c>
      <c r="H108" t="s">
        <v>15</v>
      </c>
      <c r="I108">
        <v>2</v>
      </c>
      <c r="J108" t="s">
        <v>23</v>
      </c>
      <c r="K108" t="s">
        <v>24</v>
      </c>
      <c r="L108">
        <v>52</v>
      </c>
      <c r="M108" t="str">
        <f t="shared" si="1"/>
        <v>Old</v>
      </c>
      <c r="N108" t="s">
        <v>15</v>
      </c>
    </row>
    <row r="109" spans="1:14" x14ac:dyDescent="0.3">
      <c r="A109">
        <v>27494</v>
      </c>
      <c r="B109" t="s">
        <v>37</v>
      </c>
      <c r="C109" t="s">
        <v>39</v>
      </c>
      <c r="D109" s="3">
        <v>40000</v>
      </c>
      <c r="E109">
        <v>2</v>
      </c>
      <c r="F109" t="s">
        <v>19</v>
      </c>
      <c r="G109" t="s">
        <v>14</v>
      </c>
      <c r="H109" t="s">
        <v>18</v>
      </c>
      <c r="I109">
        <v>2</v>
      </c>
      <c r="J109" t="s">
        <v>26</v>
      </c>
      <c r="K109" t="s">
        <v>24</v>
      </c>
      <c r="L109">
        <v>53</v>
      </c>
      <c r="M109" t="str">
        <f t="shared" si="1"/>
        <v>Old</v>
      </c>
      <c r="N109" t="s">
        <v>15</v>
      </c>
    </row>
    <row r="110" spans="1:14" x14ac:dyDescent="0.3">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39</v>
      </c>
      <c r="D124" s="3">
        <v>80000</v>
      </c>
      <c r="E124">
        <v>0</v>
      </c>
      <c r="F124" t="s">
        <v>13</v>
      </c>
      <c r="G124" t="s">
        <v>21</v>
      </c>
      <c r="H124" t="s">
        <v>18</v>
      </c>
      <c r="I124">
        <v>3</v>
      </c>
      <c r="J124" t="s">
        <v>46</v>
      </c>
      <c r="K124" t="s">
        <v>24</v>
      </c>
      <c r="L124">
        <v>31</v>
      </c>
      <c r="M124" t="str">
        <f t="shared" si="1"/>
        <v>Middle Age</v>
      </c>
      <c r="N124" t="s">
        <v>18</v>
      </c>
    </row>
    <row r="125" spans="1:14" x14ac:dyDescent="0.3">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38</v>
      </c>
      <c r="D130" s="3">
        <v>10000</v>
      </c>
      <c r="E130">
        <v>2</v>
      </c>
      <c r="F130" t="s">
        <v>19</v>
      </c>
      <c r="G130" t="s">
        <v>25</v>
      </c>
      <c r="H130" t="s">
        <v>15</v>
      </c>
      <c r="I130">
        <v>1</v>
      </c>
      <c r="J130" t="s">
        <v>16</v>
      </c>
      <c r="K130" t="s">
        <v>17</v>
      </c>
      <c r="L130">
        <v>52</v>
      </c>
      <c r="M130" t="str">
        <f t="shared" si="1"/>
        <v>Old</v>
      </c>
      <c r="N130" t="s">
        <v>15</v>
      </c>
    </row>
    <row r="131" spans="1:14" x14ac:dyDescent="0.3">
      <c r="A131">
        <v>26818</v>
      </c>
      <c r="B131" t="s">
        <v>37</v>
      </c>
      <c r="C131" t="s">
        <v>38</v>
      </c>
      <c r="D131" s="3">
        <v>10000</v>
      </c>
      <c r="E131">
        <v>3</v>
      </c>
      <c r="F131" t="s">
        <v>27</v>
      </c>
      <c r="G131" t="s">
        <v>25</v>
      </c>
      <c r="H131" t="s">
        <v>15</v>
      </c>
      <c r="I131">
        <v>1</v>
      </c>
      <c r="J131" t="s">
        <v>16</v>
      </c>
      <c r="K131" t="s">
        <v>17</v>
      </c>
      <c r="L131">
        <v>39</v>
      </c>
      <c r="M131" t="str">
        <f t="shared" ref="M131:M194" si="2">IF(L131&gt;50,"Old",IF(L131&gt;=31,"Middle Age",IF(L131&lt;31,"Adolescent","Invalid")))</f>
        <v>Middle Age</v>
      </c>
      <c r="N131" t="s">
        <v>15</v>
      </c>
    </row>
    <row r="132" spans="1:14" x14ac:dyDescent="0.3">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38</v>
      </c>
      <c r="D137" s="3">
        <v>10000</v>
      </c>
      <c r="E137">
        <v>2</v>
      </c>
      <c r="F137" t="s">
        <v>19</v>
      </c>
      <c r="G137" t="s">
        <v>25</v>
      </c>
      <c r="H137" t="s">
        <v>15</v>
      </c>
      <c r="I137">
        <v>1</v>
      </c>
      <c r="J137" t="s">
        <v>22</v>
      </c>
      <c r="K137" t="s">
        <v>17</v>
      </c>
      <c r="L137">
        <v>52</v>
      </c>
      <c r="M137" t="str">
        <f t="shared" si="2"/>
        <v>Old</v>
      </c>
      <c r="N137" t="s">
        <v>18</v>
      </c>
    </row>
    <row r="138" spans="1:14" x14ac:dyDescent="0.3">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39</v>
      </c>
      <c r="D145" s="3">
        <v>80000</v>
      </c>
      <c r="E145">
        <v>0</v>
      </c>
      <c r="F145" t="s">
        <v>13</v>
      </c>
      <c r="G145" t="s">
        <v>21</v>
      </c>
      <c r="H145" t="s">
        <v>15</v>
      </c>
      <c r="I145">
        <v>3</v>
      </c>
      <c r="J145" t="s">
        <v>46</v>
      </c>
      <c r="K145" t="s">
        <v>24</v>
      </c>
      <c r="L145">
        <v>32</v>
      </c>
      <c r="M145" t="str">
        <f t="shared" si="2"/>
        <v>Middle Age</v>
      </c>
      <c r="N145" t="s">
        <v>18</v>
      </c>
    </row>
    <row r="146" spans="1:14" x14ac:dyDescent="0.3">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39</v>
      </c>
      <c r="D160" s="3">
        <v>20000</v>
      </c>
      <c r="E160">
        <v>2</v>
      </c>
      <c r="F160" t="s">
        <v>19</v>
      </c>
      <c r="G160" t="s">
        <v>25</v>
      </c>
      <c r="H160" t="s">
        <v>18</v>
      </c>
      <c r="I160">
        <v>1</v>
      </c>
      <c r="J160" t="s">
        <v>16</v>
      </c>
      <c r="K160" t="s">
        <v>17</v>
      </c>
      <c r="L160">
        <v>54</v>
      </c>
      <c r="M160" t="str">
        <f t="shared" si="2"/>
        <v>Old</v>
      </c>
      <c r="N160" t="s">
        <v>15</v>
      </c>
    </row>
    <row r="161" spans="1:14" x14ac:dyDescent="0.3">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38</v>
      </c>
      <c r="D165" s="3">
        <v>40000</v>
      </c>
      <c r="E165">
        <v>2</v>
      </c>
      <c r="F165" t="s">
        <v>19</v>
      </c>
      <c r="G165" t="s">
        <v>14</v>
      </c>
      <c r="H165" t="s">
        <v>18</v>
      </c>
      <c r="I165">
        <v>2</v>
      </c>
      <c r="J165" t="s">
        <v>26</v>
      </c>
      <c r="K165" t="s">
        <v>24</v>
      </c>
      <c r="L165">
        <v>52</v>
      </c>
      <c r="M165" t="str">
        <f t="shared" si="2"/>
        <v>Old</v>
      </c>
      <c r="N165" t="s">
        <v>18</v>
      </c>
    </row>
    <row r="166" spans="1:14" x14ac:dyDescent="0.3">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38</v>
      </c>
      <c r="D169" s="3">
        <v>100000</v>
      </c>
      <c r="E169">
        <v>0</v>
      </c>
      <c r="F169" t="s">
        <v>27</v>
      </c>
      <c r="G169" t="s">
        <v>28</v>
      </c>
      <c r="H169" t="s">
        <v>15</v>
      </c>
      <c r="I169">
        <v>3</v>
      </c>
      <c r="J169" t="s">
        <v>46</v>
      </c>
      <c r="K169" t="s">
        <v>24</v>
      </c>
      <c r="L169">
        <v>35</v>
      </c>
      <c r="M169" t="str">
        <f t="shared" si="2"/>
        <v>Middle Age</v>
      </c>
      <c r="N169" t="s">
        <v>18</v>
      </c>
    </row>
    <row r="170" spans="1:14" x14ac:dyDescent="0.3">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39</v>
      </c>
      <c r="D177" s="3">
        <v>80000</v>
      </c>
      <c r="E177">
        <v>2</v>
      </c>
      <c r="F177" t="s">
        <v>19</v>
      </c>
      <c r="G177" t="s">
        <v>14</v>
      </c>
      <c r="H177" t="s">
        <v>15</v>
      </c>
      <c r="I177">
        <v>2</v>
      </c>
      <c r="J177" t="s">
        <v>23</v>
      </c>
      <c r="K177" t="s">
        <v>24</v>
      </c>
      <c r="L177">
        <v>52</v>
      </c>
      <c r="M177" t="str">
        <f t="shared" si="2"/>
        <v>Old</v>
      </c>
      <c r="N177" t="s">
        <v>15</v>
      </c>
    </row>
    <row r="178" spans="1:14" x14ac:dyDescent="0.3">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38</v>
      </c>
      <c r="D180" s="3">
        <v>160000</v>
      </c>
      <c r="E180">
        <v>4</v>
      </c>
      <c r="F180" t="s">
        <v>19</v>
      </c>
      <c r="G180" t="s">
        <v>21</v>
      </c>
      <c r="H180" t="s">
        <v>18</v>
      </c>
      <c r="I180">
        <v>2</v>
      </c>
      <c r="J180" t="s">
        <v>46</v>
      </c>
      <c r="K180" t="s">
        <v>17</v>
      </c>
      <c r="L180">
        <v>55</v>
      </c>
      <c r="M180" t="str">
        <f t="shared" si="2"/>
        <v>Old</v>
      </c>
      <c r="N180" t="s">
        <v>15</v>
      </c>
    </row>
    <row r="181" spans="1:14" x14ac:dyDescent="0.3">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39</v>
      </c>
      <c r="D186" s="3">
        <v>130000</v>
      </c>
      <c r="E186">
        <v>4</v>
      </c>
      <c r="F186" t="s">
        <v>27</v>
      </c>
      <c r="G186" t="s">
        <v>28</v>
      </c>
      <c r="H186" t="s">
        <v>18</v>
      </c>
      <c r="I186">
        <v>4</v>
      </c>
      <c r="J186" t="s">
        <v>46</v>
      </c>
      <c r="K186" t="s">
        <v>17</v>
      </c>
      <c r="L186">
        <v>58</v>
      </c>
      <c r="M186" t="str">
        <f t="shared" si="2"/>
        <v>Old</v>
      </c>
      <c r="N186" t="s">
        <v>18</v>
      </c>
    </row>
    <row r="187" spans="1:14" x14ac:dyDescent="0.3">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38</v>
      </c>
      <c r="D189" s="3">
        <v>80000</v>
      </c>
      <c r="E189">
        <v>5</v>
      </c>
      <c r="F189" t="s">
        <v>19</v>
      </c>
      <c r="G189" t="s">
        <v>21</v>
      </c>
      <c r="H189" t="s">
        <v>18</v>
      </c>
      <c r="I189">
        <v>2</v>
      </c>
      <c r="J189" t="s">
        <v>46</v>
      </c>
      <c r="K189" t="s">
        <v>17</v>
      </c>
      <c r="L189">
        <v>59</v>
      </c>
      <c r="M189" t="str">
        <f t="shared" si="2"/>
        <v>Old</v>
      </c>
      <c r="N189" t="s">
        <v>18</v>
      </c>
    </row>
    <row r="190" spans="1:14" x14ac:dyDescent="0.3">
      <c r="A190">
        <v>20606</v>
      </c>
      <c r="B190" t="s">
        <v>36</v>
      </c>
      <c r="C190" t="s">
        <v>39</v>
      </c>
      <c r="D190" s="3">
        <v>70000</v>
      </c>
      <c r="E190">
        <v>0</v>
      </c>
      <c r="F190" t="s">
        <v>13</v>
      </c>
      <c r="G190" t="s">
        <v>21</v>
      </c>
      <c r="H190" t="s">
        <v>15</v>
      </c>
      <c r="I190">
        <v>4</v>
      </c>
      <c r="J190" t="s">
        <v>46</v>
      </c>
      <c r="K190" t="s">
        <v>24</v>
      </c>
      <c r="L190">
        <v>32</v>
      </c>
      <c r="M190" t="str">
        <f t="shared" si="2"/>
        <v>Middle Age</v>
      </c>
      <c r="N190" t="s">
        <v>15</v>
      </c>
    </row>
    <row r="191" spans="1:14" x14ac:dyDescent="0.3">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39</v>
      </c>
      <c r="D194" s="3">
        <v>80000</v>
      </c>
      <c r="E194">
        <v>5</v>
      </c>
      <c r="F194" t="s">
        <v>13</v>
      </c>
      <c r="G194" t="s">
        <v>28</v>
      </c>
      <c r="H194" t="s">
        <v>15</v>
      </c>
      <c r="I194">
        <v>2</v>
      </c>
      <c r="J194" t="s">
        <v>46</v>
      </c>
      <c r="K194" t="s">
        <v>17</v>
      </c>
      <c r="L194">
        <v>62</v>
      </c>
      <c r="M194" t="str">
        <f t="shared" si="2"/>
        <v>Old</v>
      </c>
      <c r="N194" t="s">
        <v>18</v>
      </c>
    </row>
    <row r="195" spans="1:14" x14ac:dyDescent="0.3">
      <c r="A195">
        <v>26032</v>
      </c>
      <c r="B195" t="s">
        <v>36</v>
      </c>
      <c r="C195" t="s">
        <v>39</v>
      </c>
      <c r="D195" s="3">
        <v>70000</v>
      </c>
      <c r="E195">
        <v>5</v>
      </c>
      <c r="F195" t="s">
        <v>13</v>
      </c>
      <c r="G195" t="s">
        <v>21</v>
      </c>
      <c r="H195" t="s">
        <v>15</v>
      </c>
      <c r="I195">
        <v>4</v>
      </c>
      <c r="J195" t="s">
        <v>46</v>
      </c>
      <c r="K195" t="s">
        <v>24</v>
      </c>
      <c r="L195">
        <v>41</v>
      </c>
      <c r="M195" t="str">
        <f t="shared" ref="M195:M258" si="3">IF(L195&gt;50,"Old",IF(L195&gt;=31,"Middle Age",IF(L195&lt;31,"Adolescent","Invalid")))</f>
        <v>Middle Age</v>
      </c>
      <c r="N195" t="s">
        <v>18</v>
      </c>
    </row>
    <row r="196" spans="1:14" x14ac:dyDescent="0.3">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38</v>
      </c>
      <c r="D201" s="3">
        <v>80000</v>
      </c>
      <c r="E201">
        <v>0</v>
      </c>
      <c r="F201" t="s">
        <v>13</v>
      </c>
      <c r="G201" t="s">
        <v>21</v>
      </c>
      <c r="H201" t="s">
        <v>18</v>
      </c>
      <c r="I201">
        <v>3</v>
      </c>
      <c r="J201" t="s">
        <v>46</v>
      </c>
      <c r="K201" t="s">
        <v>24</v>
      </c>
      <c r="L201">
        <v>33</v>
      </c>
      <c r="M201" t="str">
        <f t="shared" si="3"/>
        <v>Middle Age</v>
      </c>
      <c r="N201" t="s">
        <v>15</v>
      </c>
    </row>
    <row r="202" spans="1:14" x14ac:dyDescent="0.3">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39</v>
      </c>
      <c r="D206" s="3">
        <v>90000</v>
      </c>
      <c r="E206">
        <v>3</v>
      </c>
      <c r="F206" t="s">
        <v>27</v>
      </c>
      <c r="G206" t="s">
        <v>21</v>
      </c>
      <c r="H206" t="s">
        <v>18</v>
      </c>
      <c r="I206">
        <v>1</v>
      </c>
      <c r="J206" t="s">
        <v>22</v>
      </c>
      <c r="K206" t="s">
        <v>17</v>
      </c>
      <c r="L206">
        <v>51</v>
      </c>
      <c r="M206" t="str">
        <f t="shared" si="3"/>
        <v>Old</v>
      </c>
      <c r="N206" t="s">
        <v>18</v>
      </c>
    </row>
    <row r="207" spans="1:14" x14ac:dyDescent="0.3">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38</v>
      </c>
      <c r="D208" s="3">
        <v>90000</v>
      </c>
      <c r="E208">
        <v>5</v>
      </c>
      <c r="F208" t="s">
        <v>19</v>
      </c>
      <c r="G208" t="s">
        <v>21</v>
      </c>
      <c r="H208" t="s">
        <v>18</v>
      </c>
      <c r="I208">
        <v>2</v>
      </c>
      <c r="J208" t="s">
        <v>46</v>
      </c>
      <c r="K208" t="s">
        <v>17</v>
      </c>
      <c r="L208">
        <v>62</v>
      </c>
      <c r="M208" t="str">
        <f t="shared" si="3"/>
        <v>Old</v>
      </c>
      <c r="N208" t="s">
        <v>18</v>
      </c>
    </row>
    <row r="209" spans="1:14" x14ac:dyDescent="0.3">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38</v>
      </c>
      <c r="D215" s="3">
        <v>70000</v>
      </c>
      <c r="E215">
        <v>0</v>
      </c>
      <c r="F215" t="s">
        <v>13</v>
      </c>
      <c r="G215" t="s">
        <v>21</v>
      </c>
      <c r="H215" t="s">
        <v>18</v>
      </c>
      <c r="I215">
        <v>4</v>
      </c>
      <c r="J215" t="s">
        <v>46</v>
      </c>
      <c r="K215" t="s">
        <v>24</v>
      </c>
      <c r="L215">
        <v>31</v>
      </c>
      <c r="M215" t="str">
        <f t="shared" si="3"/>
        <v>Middle Age</v>
      </c>
      <c r="N215" t="s">
        <v>15</v>
      </c>
    </row>
    <row r="216" spans="1:14" x14ac:dyDescent="0.3">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38</v>
      </c>
      <c r="D217" s="3">
        <v>80000</v>
      </c>
      <c r="E217">
        <v>4</v>
      </c>
      <c r="F217" t="s">
        <v>19</v>
      </c>
      <c r="G217" t="s">
        <v>21</v>
      </c>
      <c r="H217" t="s">
        <v>18</v>
      </c>
      <c r="I217">
        <v>2</v>
      </c>
      <c r="J217" t="s">
        <v>22</v>
      </c>
      <c r="K217" t="s">
        <v>17</v>
      </c>
      <c r="L217">
        <v>54</v>
      </c>
      <c r="M217" t="str">
        <f t="shared" si="3"/>
        <v>Old</v>
      </c>
      <c r="N217" t="s">
        <v>15</v>
      </c>
    </row>
    <row r="218" spans="1:14" x14ac:dyDescent="0.3">
      <c r="A218">
        <v>25026</v>
      </c>
      <c r="B218" t="s">
        <v>36</v>
      </c>
      <c r="C218" t="s">
        <v>38</v>
      </c>
      <c r="D218" s="3">
        <v>20000</v>
      </c>
      <c r="E218">
        <v>2</v>
      </c>
      <c r="F218" t="s">
        <v>29</v>
      </c>
      <c r="G218" t="s">
        <v>20</v>
      </c>
      <c r="H218" t="s">
        <v>15</v>
      </c>
      <c r="I218">
        <v>3</v>
      </c>
      <c r="J218" t="s">
        <v>23</v>
      </c>
      <c r="K218" t="s">
        <v>24</v>
      </c>
      <c r="L218">
        <v>54</v>
      </c>
      <c r="M218" t="str">
        <f t="shared" si="3"/>
        <v>Old</v>
      </c>
      <c r="N218" t="s">
        <v>18</v>
      </c>
    </row>
    <row r="219" spans="1:14" x14ac:dyDescent="0.3">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39</v>
      </c>
      <c r="D225" s="3">
        <v>70000</v>
      </c>
      <c r="E225">
        <v>5</v>
      </c>
      <c r="F225" t="s">
        <v>13</v>
      </c>
      <c r="G225" t="s">
        <v>21</v>
      </c>
      <c r="H225" t="s">
        <v>15</v>
      </c>
      <c r="I225">
        <v>4</v>
      </c>
      <c r="J225" t="s">
        <v>46</v>
      </c>
      <c r="K225" t="s">
        <v>24</v>
      </c>
      <c r="L225">
        <v>39</v>
      </c>
      <c r="M225" t="str">
        <f t="shared" si="3"/>
        <v>Middle Age</v>
      </c>
      <c r="N225" t="s">
        <v>18</v>
      </c>
    </row>
    <row r="226" spans="1:14" x14ac:dyDescent="0.3">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38</v>
      </c>
      <c r="D231" s="3">
        <v>80000</v>
      </c>
      <c r="E231">
        <v>5</v>
      </c>
      <c r="F231" t="s">
        <v>27</v>
      </c>
      <c r="G231" t="s">
        <v>28</v>
      </c>
      <c r="H231" t="s">
        <v>15</v>
      </c>
      <c r="I231">
        <v>3</v>
      </c>
      <c r="J231" t="s">
        <v>46</v>
      </c>
      <c r="K231" t="s">
        <v>17</v>
      </c>
      <c r="L231">
        <v>57</v>
      </c>
      <c r="M231" t="str">
        <f t="shared" si="3"/>
        <v>Old</v>
      </c>
      <c r="N231" t="s">
        <v>18</v>
      </c>
    </row>
    <row r="232" spans="1:14" x14ac:dyDescent="0.3">
      <c r="A232">
        <v>22830</v>
      </c>
      <c r="B232" t="s">
        <v>36</v>
      </c>
      <c r="C232" t="s">
        <v>38</v>
      </c>
      <c r="D232" s="3">
        <v>120000</v>
      </c>
      <c r="E232">
        <v>4</v>
      </c>
      <c r="F232" t="s">
        <v>19</v>
      </c>
      <c r="G232" t="s">
        <v>28</v>
      </c>
      <c r="H232" t="s">
        <v>15</v>
      </c>
      <c r="I232">
        <v>3</v>
      </c>
      <c r="J232" t="s">
        <v>46</v>
      </c>
      <c r="K232" t="s">
        <v>17</v>
      </c>
      <c r="L232">
        <v>56</v>
      </c>
      <c r="M232" t="str">
        <f t="shared" si="3"/>
        <v>Old</v>
      </c>
      <c r="N232" t="s">
        <v>18</v>
      </c>
    </row>
    <row r="233" spans="1:14" x14ac:dyDescent="0.3">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38</v>
      </c>
      <c r="D236" s="3">
        <v>90000</v>
      </c>
      <c r="E236">
        <v>0</v>
      </c>
      <c r="F236" t="s">
        <v>13</v>
      </c>
      <c r="G236" t="s">
        <v>21</v>
      </c>
      <c r="H236" t="s">
        <v>18</v>
      </c>
      <c r="I236">
        <v>4</v>
      </c>
      <c r="J236" t="s">
        <v>46</v>
      </c>
      <c r="K236" t="s">
        <v>24</v>
      </c>
      <c r="L236">
        <v>35</v>
      </c>
      <c r="M236" t="str">
        <f t="shared" si="3"/>
        <v>Middle Age</v>
      </c>
      <c r="N236" t="s">
        <v>15</v>
      </c>
    </row>
    <row r="237" spans="1:14" x14ac:dyDescent="0.3">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39</v>
      </c>
      <c r="D246" s="3">
        <v>120000</v>
      </c>
      <c r="E246">
        <v>3</v>
      </c>
      <c r="F246" t="s">
        <v>13</v>
      </c>
      <c r="G246" t="s">
        <v>28</v>
      </c>
      <c r="H246" t="s">
        <v>18</v>
      </c>
      <c r="I246">
        <v>2</v>
      </c>
      <c r="J246" t="s">
        <v>46</v>
      </c>
      <c r="K246" t="s">
        <v>17</v>
      </c>
      <c r="L246">
        <v>52</v>
      </c>
      <c r="M246" t="str">
        <f t="shared" si="3"/>
        <v>Old</v>
      </c>
      <c r="N246" t="s">
        <v>15</v>
      </c>
    </row>
    <row r="247" spans="1:14" x14ac:dyDescent="0.3">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39</v>
      </c>
      <c r="D248" s="3">
        <v>130000</v>
      </c>
      <c r="E248">
        <v>3</v>
      </c>
      <c r="F248" t="s">
        <v>19</v>
      </c>
      <c r="G248" t="s">
        <v>21</v>
      </c>
      <c r="H248" t="s">
        <v>15</v>
      </c>
      <c r="I248">
        <v>3</v>
      </c>
      <c r="J248" t="s">
        <v>16</v>
      </c>
      <c r="K248" t="s">
        <v>17</v>
      </c>
      <c r="L248">
        <v>51</v>
      </c>
      <c r="M248" t="str">
        <f t="shared" si="3"/>
        <v>Old</v>
      </c>
      <c r="N248" t="s">
        <v>15</v>
      </c>
    </row>
    <row r="249" spans="1:14" x14ac:dyDescent="0.3">
      <c r="A249">
        <v>21568</v>
      </c>
      <c r="B249" t="s">
        <v>36</v>
      </c>
      <c r="C249" t="s">
        <v>39</v>
      </c>
      <c r="D249" s="3">
        <v>100000</v>
      </c>
      <c r="E249">
        <v>0</v>
      </c>
      <c r="F249" t="s">
        <v>27</v>
      </c>
      <c r="G249" t="s">
        <v>28</v>
      </c>
      <c r="H249" t="s">
        <v>15</v>
      </c>
      <c r="I249">
        <v>4</v>
      </c>
      <c r="J249" t="s">
        <v>46</v>
      </c>
      <c r="K249" t="s">
        <v>24</v>
      </c>
      <c r="L249">
        <v>34</v>
      </c>
      <c r="M249" t="str">
        <f t="shared" si="3"/>
        <v>Middle Age</v>
      </c>
      <c r="N249" t="s">
        <v>15</v>
      </c>
    </row>
    <row r="250" spans="1:14" x14ac:dyDescent="0.3">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38</v>
      </c>
      <c r="D255" s="3">
        <v>100000</v>
      </c>
      <c r="E255">
        <v>3</v>
      </c>
      <c r="F255" t="s">
        <v>29</v>
      </c>
      <c r="G255" t="s">
        <v>21</v>
      </c>
      <c r="H255" t="s">
        <v>15</v>
      </c>
      <c r="I255">
        <v>0</v>
      </c>
      <c r="J255" t="s">
        <v>46</v>
      </c>
      <c r="K255" t="s">
        <v>17</v>
      </c>
      <c r="L255">
        <v>59</v>
      </c>
      <c r="M255" t="str">
        <f t="shared" si="3"/>
        <v>Old</v>
      </c>
      <c r="N255" t="s">
        <v>15</v>
      </c>
    </row>
    <row r="256" spans="1:14" x14ac:dyDescent="0.3">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39</v>
      </c>
      <c r="D259" s="3">
        <v>50000</v>
      </c>
      <c r="E259">
        <v>0</v>
      </c>
      <c r="F259" t="s">
        <v>31</v>
      </c>
      <c r="G259" t="s">
        <v>14</v>
      </c>
      <c r="H259" t="s">
        <v>15</v>
      </c>
      <c r="I259">
        <v>0</v>
      </c>
      <c r="J259" t="s">
        <v>16</v>
      </c>
      <c r="K259" t="s">
        <v>17</v>
      </c>
      <c r="L259">
        <v>36</v>
      </c>
      <c r="M259" t="str">
        <f t="shared" ref="M259:M322" si="4">IF(L259&gt;50,"Old",IF(L259&gt;=31,"Middle Age",IF(L259&lt;31,"Adolescent","Invalid")))</f>
        <v>Middle Age</v>
      </c>
      <c r="N259" t="s">
        <v>15</v>
      </c>
    </row>
    <row r="260" spans="1:14" x14ac:dyDescent="0.3">
      <c r="A260">
        <v>14193</v>
      </c>
      <c r="B260" t="s">
        <v>37</v>
      </c>
      <c r="C260" t="s">
        <v>39</v>
      </c>
      <c r="D260" s="3">
        <v>100000</v>
      </c>
      <c r="E260">
        <v>3</v>
      </c>
      <c r="F260" t="s">
        <v>19</v>
      </c>
      <c r="G260" t="s">
        <v>28</v>
      </c>
      <c r="H260" t="s">
        <v>15</v>
      </c>
      <c r="I260">
        <v>4</v>
      </c>
      <c r="J260" t="s">
        <v>46</v>
      </c>
      <c r="K260" t="s">
        <v>17</v>
      </c>
      <c r="L260">
        <v>56</v>
      </c>
      <c r="M260" t="str">
        <f t="shared" si="4"/>
        <v>Old</v>
      </c>
      <c r="N260" t="s">
        <v>18</v>
      </c>
    </row>
    <row r="261" spans="1:14" x14ac:dyDescent="0.3">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39</v>
      </c>
      <c r="D264" s="3">
        <v>10000</v>
      </c>
      <c r="E264">
        <v>2</v>
      </c>
      <c r="F264" t="s">
        <v>19</v>
      </c>
      <c r="G264" t="s">
        <v>25</v>
      </c>
      <c r="H264" t="s">
        <v>15</v>
      </c>
      <c r="I264">
        <v>0</v>
      </c>
      <c r="J264" t="s">
        <v>26</v>
      </c>
      <c r="K264" t="s">
        <v>17</v>
      </c>
      <c r="L264">
        <v>51</v>
      </c>
      <c r="M264" t="str">
        <f t="shared" si="4"/>
        <v>Old</v>
      </c>
      <c r="N264" t="s">
        <v>18</v>
      </c>
    </row>
    <row r="265" spans="1:14" x14ac:dyDescent="0.3">
      <c r="A265">
        <v>23419</v>
      </c>
      <c r="B265" t="s">
        <v>37</v>
      </c>
      <c r="C265" t="s">
        <v>39</v>
      </c>
      <c r="D265" s="3">
        <v>70000</v>
      </c>
      <c r="E265">
        <v>5</v>
      </c>
      <c r="F265" t="s">
        <v>13</v>
      </c>
      <c r="G265" t="s">
        <v>21</v>
      </c>
      <c r="H265" t="s">
        <v>15</v>
      </c>
      <c r="I265">
        <v>3</v>
      </c>
      <c r="J265" t="s">
        <v>46</v>
      </c>
      <c r="K265" t="s">
        <v>24</v>
      </c>
      <c r="L265">
        <v>39</v>
      </c>
      <c r="M265" t="str">
        <f t="shared" si="4"/>
        <v>Middle Age</v>
      </c>
      <c r="N265" t="s">
        <v>18</v>
      </c>
    </row>
    <row r="266" spans="1:14" x14ac:dyDescent="0.3">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39</v>
      </c>
      <c r="D272" s="3">
        <v>10000</v>
      </c>
      <c r="E272">
        <v>2</v>
      </c>
      <c r="F272" t="s">
        <v>19</v>
      </c>
      <c r="G272" t="s">
        <v>25</v>
      </c>
      <c r="H272" t="s">
        <v>15</v>
      </c>
      <c r="I272">
        <v>0</v>
      </c>
      <c r="J272" t="s">
        <v>16</v>
      </c>
      <c r="K272" t="s">
        <v>17</v>
      </c>
      <c r="L272">
        <v>51</v>
      </c>
      <c r="M272" t="str">
        <f t="shared" si="4"/>
        <v>Old</v>
      </c>
      <c r="N272" t="s">
        <v>15</v>
      </c>
    </row>
    <row r="273" spans="1:14" x14ac:dyDescent="0.3">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38</v>
      </c>
      <c r="D280" s="3">
        <v>100000</v>
      </c>
      <c r="E280">
        <v>0</v>
      </c>
      <c r="F280" t="s">
        <v>27</v>
      </c>
      <c r="G280" t="s">
        <v>28</v>
      </c>
      <c r="H280" t="s">
        <v>15</v>
      </c>
      <c r="I280">
        <v>3</v>
      </c>
      <c r="J280" t="s">
        <v>46</v>
      </c>
      <c r="K280" t="s">
        <v>24</v>
      </c>
      <c r="L280">
        <v>35</v>
      </c>
      <c r="M280" t="str">
        <f t="shared" si="4"/>
        <v>Middle Age</v>
      </c>
      <c r="N280" t="s">
        <v>15</v>
      </c>
    </row>
    <row r="281" spans="1:14" x14ac:dyDescent="0.3">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38</v>
      </c>
      <c r="D291" s="3">
        <v>30000</v>
      </c>
      <c r="E291">
        <v>3</v>
      </c>
      <c r="F291" t="s">
        <v>27</v>
      </c>
      <c r="G291" t="s">
        <v>14</v>
      </c>
      <c r="H291" t="s">
        <v>15</v>
      </c>
      <c r="I291">
        <v>2</v>
      </c>
      <c r="J291" t="s">
        <v>23</v>
      </c>
      <c r="K291" t="s">
        <v>24</v>
      </c>
      <c r="L291">
        <v>54</v>
      </c>
      <c r="M291" t="str">
        <f t="shared" si="4"/>
        <v>Old</v>
      </c>
      <c r="N291" t="s">
        <v>15</v>
      </c>
    </row>
    <row r="292" spans="1:14" x14ac:dyDescent="0.3">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39</v>
      </c>
      <c r="D297" s="3">
        <v>110000</v>
      </c>
      <c r="E297">
        <v>0</v>
      </c>
      <c r="F297" t="s">
        <v>19</v>
      </c>
      <c r="G297" t="s">
        <v>28</v>
      </c>
      <c r="H297" t="s">
        <v>15</v>
      </c>
      <c r="I297">
        <v>3</v>
      </c>
      <c r="J297" t="s">
        <v>46</v>
      </c>
      <c r="K297" t="s">
        <v>24</v>
      </c>
      <c r="L297">
        <v>32</v>
      </c>
      <c r="M297" t="str">
        <f t="shared" si="4"/>
        <v>Middle Age</v>
      </c>
      <c r="N297" t="s">
        <v>15</v>
      </c>
    </row>
    <row r="298" spans="1:14" x14ac:dyDescent="0.3">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39</v>
      </c>
      <c r="D300" s="3">
        <v>90000</v>
      </c>
      <c r="E300">
        <v>4</v>
      </c>
      <c r="F300" t="s">
        <v>27</v>
      </c>
      <c r="G300" t="s">
        <v>21</v>
      </c>
      <c r="H300" t="s">
        <v>18</v>
      </c>
      <c r="I300">
        <v>2</v>
      </c>
      <c r="J300" t="s">
        <v>22</v>
      </c>
      <c r="K300" t="s">
        <v>17</v>
      </c>
      <c r="L300">
        <v>54</v>
      </c>
      <c r="M300" t="str">
        <f t="shared" si="4"/>
        <v>Old</v>
      </c>
      <c r="N300" t="s">
        <v>15</v>
      </c>
    </row>
    <row r="301" spans="1:14" x14ac:dyDescent="0.3">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38</v>
      </c>
      <c r="D315" s="3">
        <v>40000</v>
      </c>
      <c r="E315">
        <v>3</v>
      </c>
      <c r="F315" t="s">
        <v>29</v>
      </c>
      <c r="G315" t="s">
        <v>20</v>
      </c>
      <c r="H315" t="s">
        <v>18</v>
      </c>
      <c r="I315">
        <v>2</v>
      </c>
      <c r="J315" t="s">
        <v>23</v>
      </c>
      <c r="K315" t="s">
        <v>24</v>
      </c>
      <c r="L315">
        <v>52</v>
      </c>
      <c r="M315" t="str">
        <f t="shared" si="4"/>
        <v>Old</v>
      </c>
      <c r="N315" t="s">
        <v>15</v>
      </c>
    </row>
    <row r="316" spans="1:14" x14ac:dyDescent="0.3">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38</v>
      </c>
      <c r="D320" s="3">
        <v>130000</v>
      </c>
      <c r="E320">
        <v>4</v>
      </c>
      <c r="F320" t="s">
        <v>19</v>
      </c>
      <c r="G320" t="s">
        <v>21</v>
      </c>
      <c r="H320" t="s">
        <v>18</v>
      </c>
      <c r="I320">
        <v>3</v>
      </c>
      <c r="J320" t="s">
        <v>46</v>
      </c>
      <c r="K320" t="s">
        <v>17</v>
      </c>
      <c r="L320">
        <v>54</v>
      </c>
      <c r="M320" t="str">
        <f t="shared" si="4"/>
        <v>Old</v>
      </c>
      <c r="N320" t="s">
        <v>18</v>
      </c>
    </row>
    <row r="321" spans="1:14" x14ac:dyDescent="0.3">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39</v>
      </c>
      <c r="D323" s="3">
        <v>160000</v>
      </c>
      <c r="E323">
        <v>0</v>
      </c>
      <c r="F323" t="s">
        <v>31</v>
      </c>
      <c r="G323" t="s">
        <v>28</v>
      </c>
      <c r="H323" t="s">
        <v>18</v>
      </c>
      <c r="I323">
        <v>3</v>
      </c>
      <c r="J323" t="s">
        <v>16</v>
      </c>
      <c r="K323" t="s">
        <v>24</v>
      </c>
      <c r="L323">
        <v>47</v>
      </c>
      <c r="M323" t="str">
        <f t="shared" ref="M323:M386" si="5">IF(L323&gt;50,"Old",IF(L323&gt;=31,"Middle Age",IF(L323&lt;31,"Adolescent","Invalid")))</f>
        <v>Middle Age</v>
      </c>
      <c r="N323" t="s">
        <v>15</v>
      </c>
    </row>
    <row r="324" spans="1:14" x14ac:dyDescent="0.3">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39</v>
      </c>
      <c r="D331" s="3">
        <v>90000</v>
      </c>
      <c r="E331">
        <v>5</v>
      </c>
      <c r="F331" t="s">
        <v>29</v>
      </c>
      <c r="G331" t="s">
        <v>14</v>
      </c>
      <c r="H331" t="s">
        <v>15</v>
      </c>
      <c r="I331">
        <v>2</v>
      </c>
      <c r="J331" t="s">
        <v>46</v>
      </c>
      <c r="K331" t="s">
        <v>17</v>
      </c>
      <c r="L331">
        <v>59</v>
      </c>
      <c r="M331" t="str">
        <f t="shared" si="5"/>
        <v>Old</v>
      </c>
      <c r="N331" t="s">
        <v>18</v>
      </c>
    </row>
    <row r="332" spans="1:14" x14ac:dyDescent="0.3">
      <c r="A332">
        <v>24898</v>
      </c>
      <c r="B332" t="s">
        <v>37</v>
      </c>
      <c r="C332" t="s">
        <v>39</v>
      </c>
      <c r="D332" s="3">
        <v>80000</v>
      </c>
      <c r="E332">
        <v>0</v>
      </c>
      <c r="F332" t="s">
        <v>13</v>
      </c>
      <c r="G332" t="s">
        <v>21</v>
      </c>
      <c r="H332" t="s">
        <v>15</v>
      </c>
      <c r="I332">
        <v>3</v>
      </c>
      <c r="J332" t="s">
        <v>46</v>
      </c>
      <c r="K332" t="s">
        <v>24</v>
      </c>
      <c r="L332">
        <v>32</v>
      </c>
      <c r="M332" t="str">
        <f t="shared" si="5"/>
        <v>Middle Age</v>
      </c>
      <c r="N332" t="s">
        <v>18</v>
      </c>
    </row>
    <row r="333" spans="1:14" x14ac:dyDescent="0.3">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38</v>
      </c>
      <c r="D335" s="3">
        <v>130000</v>
      </c>
      <c r="E335">
        <v>3</v>
      </c>
      <c r="F335" t="s">
        <v>27</v>
      </c>
      <c r="G335" t="s">
        <v>21</v>
      </c>
      <c r="H335" t="s">
        <v>15</v>
      </c>
      <c r="I335">
        <v>4</v>
      </c>
      <c r="J335" t="s">
        <v>23</v>
      </c>
      <c r="K335" t="s">
        <v>17</v>
      </c>
      <c r="L335">
        <v>51</v>
      </c>
      <c r="M335" t="str">
        <f t="shared" si="5"/>
        <v>Old</v>
      </c>
      <c r="N335" t="s">
        <v>15</v>
      </c>
    </row>
    <row r="336" spans="1:14" x14ac:dyDescent="0.3">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39</v>
      </c>
      <c r="D354" s="3">
        <v>80000</v>
      </c>
      <c r="E354">
        <v>4</v>
      </c>
      <c r="F354" t="s">
        <v>19</v>
      </c>
      <c r="G354" t="s">
        <v>21</v>
      </c>
      <c r="H354" t="s">
        <v>15</v>
      </c>
      <c r="I354">
        <v>2</v>
      </c>
      <c r="J354" t="s">
        <v>22</v>
      </c>
      <c r="K354" t="s">
        <v>17</v>
      </c>
      <c r="L354">
        <v>53</v>
      </c>
      <c r="M354" t="str">
        <f t="shared" si="5"/>
        <v>Old</v>
      </c>
      <c r="N354" t="s">
        <v>18</v>
      </c>
    </row>
    <row r="355" spans="1:14" x14ac:dyDescent="0.3">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38</v>
      </c>
      <c r="D357" s="3">
        <v>80000</v>
      </c>
      <c r="E357">
        <v>0</v>
      </c>
      <c r="F357" t="s">
        <v>13</v>
      </c>
      <c r="G357" t="s">
        <v>21</v>
      </c>
      <c r="H357" t="s">
        <v>15</v>
      </c>
      <c r="I357">
        <v>3</v>
      </c>
      <c r="J357" t="s">
        <v>46</v>
      </c>
      <c r="K357" t="s">
        <v>24</v>
      </c>
      <c r="L357">
        <v>32</v>
      </c>
      <c r="M357" t="str">
        <f t="shared" si="5"/>
        <v>Middle Age</v>
      </c>
      <c r="N357" t="s">
        <v>18</v>
      </c>
    </row>
    <row r="358" spans="1:14" x14ac:dyDescent="0.3">
      <c r="A358">
        <v>23608</v>
      </c>
      <c r="B358" t="s">
        <v>36</v>
      </c>
      <c r="C358" t="s">
        <v>39</v>
      </c>
      <c r="D358" s="3">
        <v>150000</v>
      </c>
      <c r="E358">
        <v>3</v>
      </c>
      <c r="F358" t="s">
        <v>27</v>
      </c>
      <c r="G358" t="s">
        <v>21</v>
      </c>
      <c r="H358" t="s">
        <v>15</v>
      </c>
      <c r="I358">
        <v>3</v>
      </c>
      <c r="J358" t="s">
        <v>16</v>
      </c>
      <c r="K358" t="s">
        <v>17</v>
      </c>
      <c r="L358">
        <v>51</v>
      </c>
      <c r="M358" t="str">
        <f t="shared" si="5"/>
        <v>Old</v>
      </c>
      <c r="N358" t="s">
        <v>15</v>
      </c>
    </row>
    <row r="359" spans="1:14" x14ac:dyDescent="0.3">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38</v>
      </c>
      <c r="D361" s="3">
        <v>80000</v>
      </c>
      <c r="E361">
        <v>0</v>
      </c>
      <c r="F361" t="s">
        <v>13</v>
      </c>
      <c r="G361" t="s">
        <v>21</v>
      </c>
      <c r="H361" t="s">
        <v>15</v>
      </c>
      <c r="I361">
        <v>3</v>
      </c>
      <c r="J361" t="s">
        <v>46</v>
      </c>
      <c r="K361" t="s">
        <v>24</v>
      </c>
      <c r="L361">
        <v>30</v>
      </c>
      <c r="M361" t="str">
        <f t="shared" si="5"/>
        <v>Adolescent</v>
      </c>
      <c r="N361" t="s">
        <v>18</v>
      </c>
    </row>
    <row r="362" spans="1:14" x14ac:dyDescent="0.3">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39</v>
      </c>
      <c r="D371" s="3">
        <v>20000</v>
      </c>
      <c r="E371">
        <v>2</v>
      </c>
      <c r="F371" t="s">
        <v>19</v>
      </c>
      <c r="G371" t="s">
        <v>25</v>
      </c>
      <c r="H371" t="s">
        <v>18</v>
      </c>
      <c r="I371">
        <v>1</v>
      </c>
      <c r="J371" t="s">
        <v>16</v>
      </c>
      <c r="K371" t="s">
        <v>17</v>
      </c>
      <c r="L371">
        <v>53</v>
      </c>
      <c r="M371" t="str">
        <f t="shared" si="5"/>
        <v>Old</v>
      </c>
      <c r="N371" t="s">
        <v>15</v>
      </c>
    </row>
    <row r="372" spans="1:14" x14ac:dyDescent="0.3">
      <c r="A372">
        <v>17324</v>
      </c>
      <c r="B372" t="s">
        <v>36</v>
      </c>
      <c r="C372" t="s">
        <v>39</v>
      </c>
      <c r="D372" s="3">
        <v>100000</v>
      </c>
      <c r="E372">
        <v>4</v>
      </c>
      <c r="F372" t="s">
        <v>13</v>
      </c>
      <c r="G372" t="s">
        <v>21</v>
      </c>
      <c r="H372" t="s">
        <v>15</v>
      </c>
      <c r="I372">
        <v>1</v>
      </c>
      <c r="J372" t="s">
        <v>46</v>
      </c>
      <c r="K372" t="s">
        <v>24</v>
      </c>
      <c r="L372">
        <v>46</v>
      </c>
      <c r="M372" t="str">
        <f t="shared" si="5"/>
        <v>Middle Age</v>
      </c>
      <c r="N372" t="s">
        <v>18</v>
      </c>
    </row>
    <row r="373" spans="1:14" x14ac:dyDescent="0.3">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38</v>
      </c>
      <c r="D379" s="3">
        <v>130000</v>
      </c>
      <c r="E379">
        <v>3</v>
      </c>
      <c r="F379" t="s">
        <v>19</v>
      </c>
      <c r="G379" t="s">
        <v>21</v>
      </c>
      <c r="H379" t="s">
        <v>18</v>
      </c>
      <c r="I379">
        <v>3</v>
      </c>
      <c r="J379" t="s">
        <v>23</v>
      </c>
      <c r="K379" t="s">
        <v>17</v>
      </c>
      <c r="L379">
        <v>51</v>
      </c>
      <c r="M379" t="str">
        <f t="shared" si="5"/>
        <v>Old</v>
      </c>
      <c r="N379" t="s">
        <v>15</v>
      </c>
    </row>
    <row r="380" spans="1:14" x14ac:dyDescent="0.3">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38</v>
      </c>
      <c r="D382" s="3">
        <v>70000</v>
      </c>
      <c r="E382">
        <v>0</v>
      </c>
      <c r="F382" t="s">
        <v>13</v>
      </c>
      <c r="G382" t="s">
        <v>21</v>
      </c>
      <c r="H382" t="s">
        <v>18</v>
      </c>
      <c r="I382">
        <v>3</v>
      </c>
      <c r="J382" t="s">
        <v>46</v>
      </c>
      <c r="K382" t="s">
        <v>24</v>
      </c>
      <c r="L382">
        <v>30</v>
      </c>
      <c r="M382" t="str">
        <f t="shared" si="5"/>
        <v>Adolescent</v>
      </c>
      <c r="N382" t="s">
        <v>15</v>
      </c>
    </row>
    <row r="383" spans="1:14" x14ac:dyDescent="0.3">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38</v>
      </c>
      <c r="D384" s="3">
        <v>80000</v>
      </c>
      <c r="E384">
        <v>4</v>
      </c>
      <c r="F384" t="s">
        <v>19</v>
      </c>
      <c r="G384" t="s">
        <v>21</v>
      </c>
      <c r="H384" t="s">
        <v>15</v>
      </c>
      <c r="I384">
        <v>2</v>
      </c>
      <c r="J384" t="s">
        <v>46</v>
      </c>
      <c r="K384" t="s">
        <v>17</v>
      </c>
      <c r="L384">
        <v>53</v>
      </c>
      <c r="M384" t="str">
        <f t="shared" si="5"/>
        <v>Old</v>
      </c>
      <c r="N384" t="s">
        <v>18</v>
      </c>
    </row>
    <row r="385" spans="1:14" x14ac:dyDescent="0.3">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38</v>
      </c>
      <c r="D387" s="3">
        <v>30000</v>
      </c>
      <c r="E387">
        <v>3</v>
      </c>
      <c r="F387" t="s">
        <v>19</v>
      </c>
      <c r="G387" t="s">
        <v>20</v>
      </c>
      <c r="H387" t="s">
        <v>15</v>
      </c>
      <c r="I387">
        <v>0</v>
      </c>
      <c r="J387" t="s">
        <v>16</v>
      </c>
      <c r="K387" t="s">
        <v>17</v>
      </c>
      <c r="L387">
        <v>43</v>
      </c>
      <c r="M387" t="str">
        <f t="shared" ref="M387:M450" si="6">IF(L387&gt;50,"Old",IF(L387&gt;=31,"Middle Age",IF(L387&lt;31,"Adolescent","Invalid")))</f>
        <v>Middle Age</v>
      </c>
      <c r="N387" t="s">
        <v>18</v>
      </c>
    </row>
    <row r="388" spans="1:14" x14ac:dyDescent="0.3">
      <c r="A388">
        <v>28957</v>
      </c>
      <c r="B388" t="s">
        <v>37</v>
      </c>
      <c r="C388" t="s">
        <v>39</v>
      </c>
      <c r="D388" s="3">
        <v>120000</v>
      </c>
      <c r="E388">
        <v>0</v>
      </c>
      <c r="F388" t="s">
        <v>29</v>
      </c>
      <c r="G388" t="s">
        <v>21</v>
      </c>
      <c r="H388" t="s">
        <v>15</v>
      </c>
      <c r="I388">
        <v>4</v>
      </c>
      <c r="J388" t="s">
        <v>46</v>
      </c>
      <c r="K388" t="s">
        <v>24</v>
      </c>
      <c r="L388">
        <v>34</v>
      </c>
      <c r="M388" t="str">
        <f t="shared" si="6"/>
        <v>Middle Age</v>
      </c>
      <c r="N388" t="s">
        <v>15</v>
      </c>
    </row>
    <row r="389" spans="1:14" x14ac:dyDescent="0.3">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38</v>
      </c>
      <c r="D394" s="3">
        <v>20000</v>
      </c>
      <c r="E394">
        <v>1</v>
      </c>
      <c r="F394" t="s">
        <v>13</v>
      </c>
      <c r="G394" t="s">
        <v>20</v>
      </c>
      <c r="H394" t="s">
        <v>18</v>
      </c>
      <c r="I394">
        <v>0</v>
      </c>
      <c r="J394" t="s">
        <v>16</v>
      </c>
      <c r="K394" t="s">
        <v>17</v>
      </c>
      <c r="L394">
        <v>51</v>
      </c>
      <c r="M394" t="str">
        <f t="shared" si="6"/>
        <v>Old</v>
      </c>
      <c r="N394" t="s">
        <v>18</v>
      </c>
    </row>
    <row r="395" spans="1:14" x14ac:dyDescent="0.3">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39</v>
      </c>
      <c r="D401" s="3">
        <v>40000</v>
      </c>
      <c r="E401">
        <v>2</v>
      </c>
      <c r="F401" t="s">
        <v>13</v>
      </c>
      <c r="G401" t="s">
        <v>28</v>
      </c>
      <c r="H401" t="s">
        <v>18</v>
      </c>
      <c r="I401">
        <v>1</v>
      </c>
      <c r="J401" t="s">
        <v>23</v>
      </c>
      <c r="K401" t="s">
        <v>24</v>
      </c>
      <c r="L401">
        <v>53</v>
      </c>
      <c r="M401" t="str">
        <f t="shared" si="6"/>
        <v>Old</v>
      </c>
      <c r="N401" t="s">
        <v>15</v>
      </c>
    </row>
    <row r="402" spans="1:14" x14ac:dyDescent="0.3">
      <c r="A402">
        <v>25792</v>
      </c>
      <c r="B402" t="s">
        <v>37</v>
      </c>
      <c r="C402" t="s">
        <v>39</v>
      </c>
      <c r="D402" s="3">
        <v>110000</v>
      </c>
      <c r="E402">
        <v>3</v>
      </c>
      <c r="F402" t="s">
        <v>13</v>
      </c>
      <c r="G402" t="s">
        <v>28</v>
      </c>
      <c r="H402" t="s">
        <v>15</v>
      </c>
      <c r="I402">
        <v>4</v>
      </c>
      <c r="J402" t="s">
        <v>46</v>
      </c>
      <c r="K402" t="s">
        <v>17</v>
      </c>
      <c r="L402">
        <v>53</v>
      </c>
      <c r="M402" t="str">
        <f t="shared" si="6"/>
        <v>Old</v>
      </c>
      <c r="N402" t="s">
        <v>18</v>
      </c>
    </row>
    <row r="403" spans="1:14" x14ac:dyDescent="0.3">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38</v>
      </c>
      <c r="D406" s="3">
        <v>30000</v>
      </c>
      <c r="E406">
        <v>3</v>
      </c>
      <c r="F406" t="s">
        <v>27</v>
      </c>
      <c r="G406" t="s">
        <v>14</v>
      </c>
      <c r="H406" t="s">
        <v>15</v>
      </c>
      <c r="I406">
        <v>2</v>
      </c>
      <c r="J406" t="s">
        <v>23</v>
      </c>
      <c r="K406" t="s">
        <v>24</v>
      </c>
      <c r="L406">
        <v>54</v>
      </c>
      <c r="M406" t="str">
        <f t="shared" si="6"/>
        <v>Old</v>
      </c>
      <c r="N406" t="s">
        <v>15</v>
      </c>
    </row>
    <row r="407" spans="1:14" x14ac:dyDescent="0.3">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39</v>
      </c>
      <c r="D411" s="3">
        <v>130000</v>
      </c>
      <c r="E411">
        <v>3</v>
      </c>
      <c r="F411" t="s">
        <v>19</v>
      </c>
      <c r="G411" t="s">
        <v>21</v>
      </c>
      <c r="H411" t="s">
        <v>15</v>
      </c>
      <c r="I411">
        <v>4</v>
      </c>
      <c r="J411" t="s">
        <v>16</v>
      </c>
      <c r="K411" t="s">
        <v>17</v>
      </c>
      <c r="L411">
        <v>52</v>
      </c>
      <c r="M411" t="str">
        <f t="shared" si="6"/>
        <v>Old</v>
      </c>
      <c r="N411" t="s">
        <v>18</v>
      </c>
    </row>
    <row r="412" spans="1:14" x14ac:dyDescent="0.3">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38</v>
      </c>
      <c r="D421" s="3">
        <v>10000</v>
      </c>
      <c r="E421">
        <v>2</v>
      </c>
      <c r="F421" t="s">
        <v>19</v>
      </c>
      <c r="G421" t="s">
        <v>25</v>
      </c>
      <c r="H421" t="s">
        <v>15</v>
      </c>
      <c r="I421">
        <v>1</v>
      </c>
      <c r="J421" t="s">
        <v>16</v>
      </c>
      <c r="K421" t="s">
        <v>17</v>
      </c>
      <c r="L421">
        <v>51</v>
      </c>
      <c r="M421" t="str">
        <f t="shared" si="6"/>
        <v>Old</v>
      </c>
      <c r="N421" t="s">
        <v>15</v>
      </c>
    </row>
    <row r="422" spans="1:14" x14ac:dyDescent="0.3">
      <c r="A422">
        <v>18153</v>
      </c>
      <c r="B422" t="s">
        <v>36</v>
      </c>
      <c r="C422" t="s">
        <v>39</v>
      </c>
      <c r="D422" s="3">
        <v>100000</v>
      </c>
      <c r="E422">
        <v>2</v>
      </c>
      <c r="F422" t="s">
        <v>13</v>
      </c>
      <c r="G422" t="s">
        <v>28</v>
      </c>
      <c r="H422" t="s">
        <v>15</v>
      </c>
      <c r="I422">
        <v>4</v>
      </c>
      <c r="J422" t="s">
        <v>46</v>
      </c>
      <c r="K422" t="s">
        <v>17</v>
      </c>
      <c r="L422">
        <v>59</v>
      </c>
      <c r="M422" t="str">
        <f t="shared" si="6"/>
        <v>Old</v>
      </c>
      <c r="N422" t="s">
        <v>18</v>
      </c>
    </row>
    <row r="423" spans="1:14" x14ac:dyDescent="0.3">
      <c r="A423">
        <v>14547</v>
      </c>
      <c r="B423" t="s">
        <v>36</v>
      </c>
      <c r="C423" t="s">
        <v>38</v>
      </c>
      <c r="D423" s="3">
        <v>10000</v>
      </c>
      <c r="E423">
        <v>2</v>
      </c>
      <c r="F423" t="s">
        <v>19</v>
      </c>
      <c r="G423" t="s">
        <v>25</v>
      </c>
      <c r="H423" t="s">
        <v>15</v>
      </c>
      <c r="I423">
        <v>0</v>
      </c>
      <c r="J423" t="s">
        <v>26</v>
      </c>
      <c r="K423" t="s">
        <v>17</v>
      </c>
      <c r="L423">
        <v>51</v>
      </c>
      <c r="M423" t="str">
        <f t="shared" si="6"/>
        <v>Old</v>
      </c>
      <c r="N423" t="s">
        <v>18</v>
      </c>
    </row>
    <row r="424" spans="1:14" x14ac:dyDescent="0.3">
      <c r="A424">
        <v>24901</v>
      </c>
      <c r="B424" t="s">
        <v>37</v>
      </c>
      <c r="C424" t="s">
        <v>38</v>
      </c>
      <c r="D424" s="3">
        <v>110000</v>
      </c>
      <c r="E424">
        <v>0</v>
      </c>
      <c r="F424" t="s">
        <v>19</v>
      </c>
      <c r="G424" t="s">
        <v>28</v>
      </c>
      <c r="H424" t="s">
        <v>18</v>
      </c>
      <c r="I424">
        <v>3</v>
      </c>
      <c r="J424" t="s">
        <v>46</v>
      </c>
      <c r="K424" t="s">
        <v>24</v>
      </c>
      <c r="L424">
        <v>32</v>
      </c>
      <c r="M424" t="str">
        <f t="shared" si="6"/>
        <v>Middle Age</v>
      </c>
      <c r="N424" t="s">
        <v>15</v>
      </c>
    </row>
    <row r="425" spans="1:14" x14ac:dyDescent="0.3">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39</v>
      </c>
      <c r="D434" s="3">
        <v>110000</v>
      </c>
      <c r="E434">
        <v>0</v>
      </c>
      <c r="F434" t="s">
        <v>27</v>
      </c>
      <c r="G434" t="s">
        <v>28</v>
      </c>
      <c r="H434" t="s">
        <v>15</v>
      </c>
      <c r="I434">
        <v>3</v>
      </c>
      <c r="J434" t="s">
        <v>46</v>
      </c>
      <c r="K434" t="s">
        <v>24</v>
      </c>
      <c r="L434">
        <v>34</v>
      </c>
      <c r="M434" t="str">
        <f t="shared" si="6"/>
        <v>Middle Age</v>
      </c>
      <c r="N434" t="s">
        <v>15</v>
      </c>
    </row>
    <row r="435" spans="1:14" x14ac:dyDescent="0.3">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39</v>
      </c>
      <c r="D436" s="3">
        <v>30000</v>
      </c>
      <c r="E436">
        <v>3</v>
      </c>
      <c r="F436" t="s">
        <v>27</v>
      </c>
      <c r="G436" t="s">
        <v>14</v>
      </c>
      <c r="H436" t="s">
        <v>15</v>
      </c>
      <c r="I436">
        <v>2</v>
      </c>
      <c r="J436" t="s">
        <v>23</v>
      </c>
      <c r="K436" t="s">
        <v>24</v>
      </c>
      <c r="L436">
        <v>53</v>
      </c>
      <c r="M436" t="str">
        <f t="shared" si="6"/>
        <v>Old</v>
      </c>
      <c r="N436" t="s">
        <v>15</v>
      </c>
    </row>
    <row r="437" spans="1:14" x14ac:dyDescent="0.3">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38</v>
      </c>
      <c r="D442" s="3">
        <v>90000</v>
      </c>
      <c r="E442">
        <v>0</v>
      </c>
      <c r="F442" t="s">
        <v>13</v>
      </c>
      <c r="G442" t="s">
        <v>21</v>
      </c>
      <c r="H442" t="s">
        <v>18</v>
      </c>
      <c r="I442">
        <v>3</v>
      </c>
      <c r="J442" t="s">
        <v>46</v>
      </c>
      <c r="K442" t="s">
        <v>24</v>
      </c>
      <c r="L442">
        <v>34</v>
      </c>
      <c r="M442" t="str">
        <f t="shared" si="6"/>
        <v>Middle Age</v>
      </c>
      <c r="N442" t="s">
        <v>15</v>
      </c>
    </row>
    <row r="443" spans="1:14" x14ac:dyDescent="0.3">
      <c r="A443">
        <v>11061</v>
      </c>
      <c r="B443" t="s">
        <v>36</v>
      </c>
      <c r="C443" t="s">
        <v>38</v>
      </c>
      <c r="D443" s="3">
        <v>70000</v>
      </c>
      <c r="E443">
        <v>2</v>
      </c>
      <c r="F443" t="s">
        <v>19</v>
      </c>
      <c r="G443" t="s">
        <v>14</v>
      </c>
      <c r="H443" t="s">
        <v>15</v>
      </c>
      <c r="I443">
        <v>2</v>
      </c>
      <c r="J443" t="s">
        <v>23</v>
      </c>
      <c r="K443" t="s">
        <v>24</v>
      </c>
      <c r="L443">
        <v>52</v>
      </c>
      <c r="M443" t="str">
        <f t="shared" si="6"/>
        <v>Old</v>
      </c>
      <c r="N443" t="s">
        <v>15</v>
      </c>
    </row>
    <row r="444" spans="1:14" x14ac:dyDescent="0.3">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39</v>
      </c>
      <c r="D448" s="3">
        <v>130000</v>
      </c>
      <c r="E448">
        <v>0</v>
      </c>
      <c r="F448" t="s">
        <v>31</v>
      </c>
      <c r="G448" t="s">
        <v>28</v>
      </c>
      <c r="H448" t="s">
        <v>15</v>
      </c>
      <c r="I448">
        <v>1</v>
      </c>
      <c r="J448" t="s">
        <v>46</v>
      </c>
      <c r="K448" t="s">
        <v>24</v>
      </c>
      <c r="L448">
        <v>48</v>
      </c>
      <c r="M448" t="str">
        <f t="shared" si="6"/>
        <v>Middle Age</v>
      </c>
      <c r="N448" t="s">
        <v>18</v>
      </c>
    </row>
    <row r="449" spans="1:14" x14ac:dyDescent="0.3">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39</v>
      </c>
      <c r="D451" s="3">
        <v>40000</v>
      </c>
      <c r="E451">
        <v>1</v>
      </c>
      <c r="F451" t="s">
        <v>13</v>
      </c>
      <c r="G451" t="s">
        <v>14</v>
      </c>
      <c r="H451" t="s">
        <v>15</v>
      </c>
      <c r="I451">
        <v>0</v>
      </c>
      <c r="J451" t="s">
        <v>16</v>
      </c>
      <c r="K451" t="s">
        <v>17</v>
      </c>
      <c r="L451">
        <v>42</v>
      </c>
      <c r="M451" t="str">
        <f t="shared" ref="M451:M514" si="7">IF(L451&gt;50,"Old",IF(L451&gt;=31,"Middle Age",IF(L451&lt;31,"Adolescent","Invalid")))</f>
        <v>Middle Age</v>
      </c>
      <c r="N451" t="s">
        <v>18</v>
      </c>
    </row>
    <row r="452" spans="1:14" x14ac:dyDescent="0.3">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39</v>
      </c>
      <c r="D457" s="3">
        <v>80000</v>
      </c>
      <c r="E457">
        <v>4</v>
      </c>
      <c r="F457" t="s">
        <v>19</v>
      </c>
      <c r="G457" t="s">
        <v>21</v>
      </c>
      <c r="H457" t="s">
        <v>18</v>
      </c>
      <c r="I457">
        <v>1</v>
      </c>
      <c r="J457" t="s">
        <v>22</v>
      </c>
      <c r="K457" t="s">
        <v>17</v>
      </c>
      <c r="L457">
        <v>53</v>
      </c>
      <c r="M457" t="str">
        <f t="shared" si="7"/>
        <v>Old</v>
      </c>
      <c r="N457" t="s">
        <v>15</v>
      </c>
    </row>
    <row r="458" spans="1:14" x14ac:dyDescent="0.3">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38</v>
      </c>
      <c r="D460" s="3">
        <v>120000</v>
      </c>
      <c r="E460">
        <v>0</v>
      </c>
      <c r="F460" t="s">
        <v>29</v>
      </c>
      <c r="G460" t="s">
        <v>21</v>
      </c>
      <c r="H460" t="s">
        <v>15</v>
      </c>
      <c r="I460">
        <v>4</v>
      </c>
      <c r="J460" t="s">
        <v>46</v>
      </c>
      <c r="K460" t="s">
        <v>24</v>
      </c>
      <c r="L460">
        <v>32</v>
      </c>
      <c r="M460" t="str">
        <f t="shared" si="7"/>
        <v>Middle Age</v>
      </c>
      <c r="N460" t="s">
        <v>15</v>
      </c>
    </row>
    <row r="461" spans="1:14" x14ac:dyDescent="0.3">
      <c r="A461">
        <v>21554</v>
      </c>
      <c r="B461" t="s">
        <v>37</v>
      </c>
      <c r="C461" t="s">
        <v>39</v>
      </c>
      <c r="D461" s="3">
        <v>80000</v>
      </c>
      <c r="E461">
        <v>0</v>
      </c>
      <c r="F461" t="s">
        <v>13</v>
      </c>
      <c r="G461" t="s">
        <v>21</v>
      </c>
      <c r="H461" t="s">
        <v>18</v>
      </c>
      <c r="I461">
        <v>3</v>
      </c>
      <c r="J461" t="s">
        <v>46</v>
      </c>
      <c r="K461" t="s">
        <v>24</v>
      </c>
      <c r="L461">
        <v>33</v>
      </c>
      <c r="M461" t="str">
        <f t="shared" si="7"/>
        <v>Middle Age</v>
      </c>
      <c r="N461" t="s">
        <v>18</v>
      </c>
    </row>
    <row r="462" spans="1:14" x14ac:dyDescent="0.3">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39</v>
      </c>
      <c r="D488" s="3">
        <v>90000</v>
      </c>
      <c r="E488">
        <v>4</v>
      </c>
      <c r="F488" t="s">
        <v>29</v>
      </c>
      <c r="G488" t="s">
        <v>14</v>
      </c>
      <c r="H488" t="s">
        <v>15</v>
      </c>
      <c r="I488">
        <v>4</v>
      </c>
      <c r="J488" t="s">
        <v>46</v>
      </c>
      <c r="K488" t="s">
        <v>17</v>
      </c>
      <c r="L488">
        <v>58</v>
      </c>
      <c r="M488" t="str">
        <f t="shared" si="7"/>
        <v>Old</v>
      </c>
      <c r="N488" t="s">
        <v>18</v>
      </c>
    </row>
    <row r="489" spans="1:14" x14ac:dyDescent="0.3">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38</v>
      </c>
      <c r="D495" s="3">
        <v>70000</v>
      </c>
      <c r="E495">
        <v>5</v>
      </c>
      <c r="F495" t="s">
        <v>13</v>
      </c>
      <c r="G495" t="s">
        <v>28</v>
      </c>
      <c r="H495" t="s">
        <v>15</v>
      </c>
      <c r="I495">
        <v>3</v>
      </c>
      <c r="J495" t="s">
        <v>46</v>
      </c>
      <c r="K495" t="s">
        <v>32</v>
      </c>
      <c r="L495">
        <v>60</v>
      </c>
      <c r="M495" t="str">
        <f t="shared" si="7"/>
        <v>Old</v>
      </c>
      <c r="N495" t="s">
        <v>15</v>
      </c>
    </row>
    <row r="496" spans="1:14" x14ac:dyDescent="0.3">
      <c r="A496">
        <v>27650</v>
      </c>
      <c r="B496" t="s">
        <v>36</v>
      </c>
      <c r="C496" t="s">
        <v>38</v>
      </c>
      <c r="D496" s="3">
        <v>70000</v>
      </c>
      <c r="E496">
        <v>4</v>
      </c>
      <c r="F496" t="s">
        <v>27</v>
      </c>
      <c r="G496" t="s">
        <v>21</v>
      </c>
      <c r="H496" t="s">
        <v>15</v>
      </c>
      <c r="I496">
        <v>0</v>
      </c>
      <c r="J496" t="s">
        <v>23</v>
      </c>
      <c r="K496" t="s">
        <v>32</v>
      </c>
      <c r="L496">
        <v>51</v>
      </c>
      <c r="M496" t="str">
        <f t="shared" si="7"/>
        <v>Old</v>
      </c>
      <c r="N496" t="s">
        <v>18</v>
      </c>
    </row>
    <row r="497" spans="1:14" x14ac:dyDescent="0.3">
      <c r="A497">
        <v>24981</v>
      </c>
      <c r="B497" t="s">
        <v>36</v>
      </c>
      <c r="C497" t="s">
        <v>38</v>
      </c>
      <c r="D497" s="3">
        <v>60000</v>
      </c>
      <c r="E497">
        <v>2</v>
      </c>
      <c r="F497" t="s">
        <v>19</v>
      </c>
      <c r="G497" t="s">
        <v>21</v>
      </c>
      <c r="H497" t="s">
        <v>15</v>
      </c>
      <c r="I497">
        <v>2</v>
      </c>
      <c r="J497" t="s">
        <v>46</v>
      </c>
      <c r="K497" t="s">
        <v>32</v>
      </c>
      <c r="L497">
        <v>56</v>
      </c>
      <c r="M497" t="str">
        <f t="shared" si="7"/>
        <v>Old</v>
      </c>
      <c r="N497" t="s">
        <v>18</v>
      </c>
    </row>
    <row r="498" spans="1:14" x14ac:dyDescent="0.3">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39</v>
      </c>
      <c r="D509" s="3">
        <v>40000</v>
      </c>
      <c r="E509">
        <v>1</v>
      </c>
      <c r="F509" t="s">
        <v>19</v>
      </c>
      <c r="G509" t="s">
        <v>20</v>
      </c>
      <c r="H509" t="s">
        <v>15</v>
      </c>
      <c r="I509">
        <v>1</v>
      </c>
      <c r="J509" t="s">
        <v>26</v>
      </c>
      <c r="K509" t="s">
        <v>32</v>
      </c>
      <c r="L509">
        <v>51</v>
      </c>
      <c r="M509" t="str">
        <f t="shared" si="7"/>
        <v>Old</v>
      </c>
      <c r="N509" t="s">
        <v>15</v>
      </c>
    </row>
    <row r="510" spans="1:14" x14ac:dyDescent="0.3">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39</v>
      </c>
      <c r="D515" s="3">
        <v>60000</v>
      </c>
      <c r="E515">
        <v>4</v>
      </c>
      <c r="F515" t="s">
        <v>31</v>
      </c>
      <c r="G515" t="s">
        <v>28</v>
      </c>
      <c r="H515" t="s">
        <v>15</v>
      </c>
      <c r="I515">
        <v>2</v>
      </c>
      <c r="J515" t="s">
        <v>46</v>
      </c>
      <c r="K515" t="s">
        <v>32</v>
      </c>
      <c r="L515">
        <v>61</v>
      </c>
      <c r="M515" t="str">
        <f t="shared" ref="M515:M578" si="8">IF(L515&gt;50,"Old",IF(L515&gt;=31,"Middle Age",IF(L515&lt;31,"Adolescent","Invalid")))</f>
        <v>Old</v>
      </c>
      <c r="N515" t="s">
        <v>15</v>
      </c>
    </row>
    <row r="516" spans="1:14" x14ac:dyDescent="0.3">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38</v>
      </c>
      <c r="D523" s="3">
        <v>40000</v>
      </c>
      <c r="E523">
        <v>4</v>
      </c>
      <c r="F523" t="s">
        <v>27</v>
      </c>
      <c r="G523" t="s">
        <v>21</v>
      </c>
      <c r="H523" t="s">
        <v>15</v>
      </c>
      <c r="I523">
        <v>2</v>
      </c>
      <c r="J523" t="s">
        <v>46</v>
      </c>
      <c r="K523" t="s">
        <v>32</v>
      </c>
      <c r="L523">
        <v>62</v>
      </c>
      <c r="M523" t="str">
        <f t="shared" si="8"/>
        <v>Old</v>
      </c>
      <c r="N523" t="s">
        <v>15</v>
      </c>
    </row>
    <row r="524" spans="1:14" x14ac:dyDescent="0.3">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38</v>
      </c>
      <c r="D527" s="3">
        <v>60000</v>
      </c>
      <c r="E527">
        <v>5</v>
      </c>
      <c r="F527" t="s">
        <v>13</v>
      </c>
      <c r="G527" t="s">
        <v>28</v>
      </c>
      <c r="H527" t="s">
        <v>15</v>
      </c>
      <c r="I527">
        <v>3</v>
      </c>
      <c r="J527" t="s">
        <v>46</v>
      </c>
      <c r="K527" t="s">
        <v>32</v>
      </c>
      <c r="L527">
        <v>59</v>
      </c>
      <c r="M527" t="str">
        <f t="shared" si="8"/>
        <v>Old</v>
      </c>
      <c r="N527" t="s">
        <v>15</v>
      </c>
    </row>
    <row r="528" spans="1:14" x14ac:dyDescent="0.3">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38</v>
      </c>
      <c r="D531" s="3">
        <v>60000</v>
      </c>
      <c r="E531">
        <v>2</v>
      </c>
      <c r="F531" t="s">
        <v>19</v>
      </c>
      <c r="G531" t="s">
        <v>21</v>
      </c>
      <c r="H531" t="s">
        <v>15</v>
      </c>
      <c r="I531">
        <v>1</v>
      </c>
      <c r="J531" t="s">
        <v>46</v>
      </c>
      <c r="K531" t="s">
        <v>32</v>
      </c>
      <c r="L531">
        <v>57</v>
      </c>
      <c r="M531" t="str">
        <f t="shared" si="8"/>
        <v>Old</v>
      </c>
      <c r="N531" t="s">
        <v>15</v>
      </c>
    </row>
    <row r="532" spans="1:14" x14ac:dyDescent="0.3">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38</v>
      </c>
      <c r="D535" s="3">
        <v>60000</v>
      </c>
      <c r="E535">
        <v>3</v>
      </c>
      <c r="F535" t="s">
        <v>13</v>
      </c>
      <c r="G535" t="s">
        <v>28</v>
      </c>
      <c r="H535" t="s">
        <v>15</v>
      </c>
      <c r="I535">
        <v>2</v>
      </c>
      <c r="J535" t="s">
        <v>46</v>
      </c>
      <c r="K535" t="s">
        <v>32</v>
      </c>
      <c r="L535">
        <v>66</v>
      </c>
      <c r="M535" t="str">
        <f t="shared" si="8"/>
        <v>Old</v>
      </c>
      <c r="N535" t="s">
        <v>18</v>
      </c>
    </row>
    <row r="536" spans="1:14" x14ac:dyDescent="0.3">
      <c r="A536">
        <v>24637</v>
      </c>
      <c r="B536" t="s">
        <v>36</v>
      </c>
      <c r="C536" t="s">
        <v>38</v>
      </c>
      <c r="D536" s="3">
        <v>40000</v>
      </c>
      <c r="E536">
        <v>4</v>
      </c>
      <c r="F536" t="s">
        <v>27</v>
      </c>
      <c r="G536" t="s">
        <v>21</v>
      </c>
      <c r="H536" t="s">
        <v>15</v>
      </c>
      <c r="I536">
        <v>2</v>
      </c>
      <c r="J536" t="s">
        <v>46</v>
      </c>
      <c r="K536" t="s">
        <v>32</v>
      </c>
      <c r="L536">
        <v>64</v>
      </c>
      <c r="M536" t="str">
        <f t="shared" si="8"/>
        <v>Old</v>
      </c>
      <c r="N536" t="s">
        <v>18</v>
      </c>
    </row>
    <row r="537" spans="1:14" x14ac:dyDescent="0.3">
      <c r="A537">
        <v>23893</v>
      </c>
      <c r="B537" t="s">
        <v>36</v>
      </c>
      <c r="C537" t="s">
        <v>38</v>
      </c>
      <c r="D537" s="3">
        <v>50000</v>
      </c>
      <c r="E537">
        <v>3</v>
      </c>
      <c r="F537" t="s">
        <v>13</v>
      </c>
      <c r="G537" t="s">
        <v>14</v>
      </c>
      <c r="H537" t="s">
        <v>15</v>
      </c>
      <c r="I537">
        <v>3</v>
      </c>
      <c r="J537" t="s">
        <v>46</v>
      </c>
      <c r="K537" t="s">
        <v>32</v>
      </c>
      <c r="L537">
        <v>41</v>
      </c>
      <c r="M537" t="str">
        <f t="shared" si="8"/>
        <v>Middle Age</v>
      </c>
      <c r="N537" t="s">
        <v>18</v>
      </c>
    </row>
    <row r="538" spans="1:14" x14ac:dyDescent="0.3">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39</v>
      </c>
      <c r="D542" s="3">
        <v>70000</v>
      </c>
      <c r="E542">
        <v>3</v>
      </c>
      <c r="F542" t="s">
        <v>31</v>
      </c>
      <c r="G542" t="s">
        <v>28</v>
      </c>
      <c r="H542" t="s">
        <v>15</v>
      </c>
      <c r="I542">
        <v>2</v>
      </c>
      <c r="J542" t="s">
        <v>26</v>
      </c>
      <c r="K542" t="s">
        <v>32</v>
      </c>
      <c r="L542">
        <v>52</v>
      </c>
      <c r="M542" t="str">
        <f t="shared" si="8"/>
        <v>Old</v>
      </c>
      <c r="N542" t="s">
        <v>18</v>
      </c>
    </row>
    <row r="543" spans="1:14" x14ac:dyDescent="0.3">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39</v>
      </c>
      <c r="D545" s="3">
        <v>70000</v>
      </c>
      <c r="E545">
        <v>2</v>
      </c>
      <c r="F545" t="s">
        <v>27</v>
      </c>
      <c r="G545" t="s">
        <v>21</v>
      </c>
      <c r="H545" t="s">
        <v>15</v>
      </c>
      <c r="I545">
        <v>2</v>
      </c>
      <c r="J545" t="s">
        <v>22</v>
      </c>
      <c r="K545" t="s">
        <v>32</v>
      </c>
      <c r="L545">
        <v>53</v>
      </c>
      <c r="M545" t="str">
        <f t="shared" si="8"/>
        <v>Old</v>
      </c>
      <c r="N545" t="s">
        <v>18</v>
      </c>
    </row>
    <row r="546" spans="1:14" x14ac:dyDescent="0.3">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39</v>
      </c>
      <c r="D553" s="3">
        <v>50000</v>
      </c>
      <c r="E553">
        <v>4</v>
      </c>
      <c r="F553" t="s">
        <v>13</v>
      </c>
      <c r="G553" t="s">
        <v>28</v>
      </c>
      <c r="H553" t="s">
        <v>15</v>
      </c>
      <c r="I553">
        <v>2</v>
      </c>
      <c r="J553" t="s">
        <v>46</v>
      </c>
      <c r="K553" t="s">
        <v>32</v>
      </c>
      <c r="L553">
        <v>63</v>
      </c>
      <c r="M553" t="str">
        <f t="shared" si="8"/>
        <v>Old</v>
      </c>
      <c r="N553" t="s">
        <v>18</v>
      </c>
    </row>
    <row r="554" spans="1:14" x14ac:dyDescent="0.3">
      <c r="A554">
        <v>14417</v>
      </c>
      <c r="B554" t="s">
        <v>37</v>
      </c>
      <c r="C554" t="s">
        <v>38</v>
      </c>
      <c r="D554" s="3">
        <v>60000</v>
      </c>
      <c r="E554">
        <v>3</v>
      </c>
      <c r="F554" t="s">
        <v>27</v>
      </c>
      <c r="G554" t="s">
        <v>21</v>
      </c>
      <c r="H554" t="s">
        <v>15</v>
      </c>
      <c r="I554">
        <v>2</v>
      </c>
      <c r="J554" t="s">
        <v>46</v>
      </c>
      <c r="K554" t="s">
        <v>32</v>
      </c>
      <c r="L554">
        <v>54</v>
      </c>
      <c r="M554" t="str">
        <f t="shared" si="8"/>
        <v>Old</v>
      </c>
      <c r="N554" t="s">
        <v>15</v>
      </c>
    </row>
    <row r="555" spans="1:14" x14ac:dyDescent="0.3">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39</v>
      </c>
      <c r="D561" s="3">
        <v>60000</v>
      </c>
      <c r="E561">
        <v>2</v>
      </c>
      <c r="F561" t="s">
        <v>13</v>
      </c>
      <c r="G561" t="s">
        <v>28</v>
      </c>
      <c r="H561" t="s">
        <v>15</v>
      </c>
      <c r="I561">
        <v>0</v>
      </c>
      <c r="J561" t="s">
        <v>46</v>
      </c>
      <c r="K561" t="s">
        <v>32</v>
      </c>
      <c r="L561">
        <v>58</v>
      </c>
      <c r="M561" t="str">
        <f t="shared" si="8"/>
        <v>Old</v>
      </c>
      <c r="N561" t="s">
        <v>18</v>
      </c>
    </row>
    <row r="562" spans="1:14" x14ac:dyDescent="0.3">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38</v>
      </c>
      <c r="D567" s="3">
        <v>40000</v>
      </c>
      <c r="E567">
        <v>3</v>
      </c>
      <c r="F567" t="s">
        <v>19</v>
      </c>
      <c r="G567" t="s">
        <v>21</v>
      </c>
      <c r="H567" t="s">
        <v>18</v>
      </c>
      <c r="I567">
        <v>2</v>
      </c>
      <c r="J567" t="s">
        <v>23</v>
      </c>
      <c r="K567" t="s">
        <v>32</v>
      </c>
      <c r="L567">
        <v>54</v>
      </c>
      <c r="M567" t="str">
        <f t="shared" si="8"/>
        <v>Old</v>
      </c>
      <c r="N567" t="s">
        <v>15</v>
      </c>
    </row>
    <row r="568" spans="1:14" x14ac:dyDescent="0.3">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38</v>
      </c>
      <c r="D571" s="3">
        <v>50000</v>
      </c>
      <c r="E571">
        <v>3</v>
      </c>
      <c r="F571" t="s">
        <v>31</v>
      </c>
      <c r="G571" t="s">
        <v>28</v>
      </c>
      <c r="H571" t="s">
        <v>15</v>
      </c>
      <c r="I571">
        <v>2</v>
      </c>
      <c r="J571" t="s">
        <v>46</v>
      </c>
      <c r="K571" t="s">
        <v>32</v>
      </c>
      <c r="L571">
        <v>69</v>
      </c>
      <c r="M571" t="str">
        <f t="shared" si="8"/>
        <v>Old</v>
      </c>
      <c r="N571" t="s">
        <v>18</v>
      </c>
    </row>
    <row r="572" spans="1:14" x14ac:dyDescent="0.3">
      <c r="A572">
        <v>20370</v>
      </c>
      <c r="B572" t="s">
        <v>36</v>
      </c>
      <c r="C572" t="s">
        <v>38</v>
      </c>
      <c r="D572" s="3">
        <v>70000</v>
      </c>
      <c r="E572">
        <v>3</v>
      </c>
      <c r="F572" t="s">
        <v>29</v>
      </c>
      <c r="G572" t="s">
        <v>14</v>
      </c>
      <c r="H572" t="s">
        <v>15</v>
      </c>
      <c r="I572">
        <v>2</v>
      </c>
      <c r="J572" t="s">
        <v>23</v>
      </c>
      <c r="K572" t="s">
        <v>32</v>
      </c>
      <c r="L572">
        <v>52</v>
      </c>
      <c r="M572" t="str">
        <f t="shared" si="8"/>
        <v>Old</v>
      </c>
      <c r="N572" t="s">
        <v>18</v>
      </c>
    </row>
    <row r="573" spans="1:14" x14ac:dyDescent="0.3">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38</v>
      </c>
      <c r="D577" s="3">
        <v>60000</v>
      </c>
      <c r="E577">
        <v>2</v>
      </c>
      <c r="F577" t="s">
        <v>19</v>
      </c>
      <c r="G577" t="s">
        <v>21</v>
      </c>
      <c r="H577" t="s">
        <v>15</v>
      </c>
      <c r="I577">
        <v>1</v>
      </c>
      <c r="J577" t="s">
        <v>46</v>
      </c>
      <c r="K577" t="s">
        <v>32</v>
      </c>
      <c r="L577">
        <v>56</v>
      </c>
      <c r="M577" t="str">
        <f t="shared" si="8"/>
        <v>Old</v>
      </c>
      <c r="N577" t="s">
        <v>18</v>
      </c>
    </row>
    <row r="578" spans="1:14" x14ac:dyDescent="0.3">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38</v>
      </c>
      <c r="D579" s="3">
        <v>120000</v>
      </c>
      <c r="E579">
        <v>1</v>
      </c>
      <c r="F579" t="s">
        <v>13</v>
      </c>
      <c r="G579" t="s">
        <v>28</v>
      </c>
      <c r="H579" t="s">
        <v>15</v>
      </c>
      <c r="I579">
        <v>4</v>
      </c>
      <c r="J579" t="s">
        <v>16</v>
      </c>
      <c r="K579" t="s">
        <v>32</v>
      </c>
      <c r="L579">
        <v>38</v>
      </c>
      <c r="M579" t="str">
        <f t="shared" ref="M579:M642" si="9">IF(L579&gt;50,"Old",IF(L579&gt;=31,"Middle Age",IF(L579&lt;31,"Adolescent","Invalid")))</f>
        <v>Middle Age</v>
      </c>
      <c r="N579" t="s">
        <v>18</v>
      </c>
    </row>
    <row r="580" spans="1:14" x14ac:dyDescent="0.3">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39</v>
      </c>
      <c r="D582" s="3">
        <v>60000</v>
      </c>
      <c r="E582">
        <v>3</v>
      </c>
      <c r="F582" t="s">
        <v>31</v>
      </c>
      <c r="G582" t="s">
        <v>28</v>
      </c>
      <c r="H582" t="s">
        <v>15</v>
      </c>
      <c r="I582">
        <v>2</v>
      </c>
      <c r="J582" t="s">
        <v>46</v>
      </c>
      <c r="K582" t="s">
        <v>32</v>
      </c>
      <c r="L582">
        <v>69</v>
      </c>
      <c r="M582" t="str">
        <f t="shared" si="9"/>
        <v>Old</v>
      </c>
      <c r="N582" t="s">
        <v>18</v>
      </c>
    </row>
    <row r="583" spans="1:14" x14ac:dyDescent="0.3">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38</v>
      </c>
      <c r="D585" s="3">
        <v>60000</v>
      </c>
      <c r="E585">
        <v>3</v>
      </c>
      <c r="F585" t="s">
        <v>13</v>
      </c>
      <c r="G585" t="s">
        <v>28</v>
      </c>
      <c r="H585" t="s">
        <v>15</v>
      </c>
      <c r="I585">
        <v>2</v>
      </c>
      <c r="J585" t="s">
        <v>46</v>
      </c>
      <c r="K585" t="s">
        <v>32</v>
      </c>
      <c r="L585">
        <v>66</v>
      </c>
      <c r="M585" t="str">
        <f t="shared" si="9"/>
        <v>Old</v>
      </c>
      <c r="N585" t="s">
        <v>18</v>
      </c>
    </row>
    <row r="586" spans="1:14" x14ac:dyDescent="0.3">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38</v>
      </c>
      <c r="D588" s="3">
        <v>60000</v>
      </c>
      <c r="E588">
        <v>2</v>
      </c>
      <c r="F588" t="s">
        <v>27</v>
      </c>
      <c r="G588" t="s">
        <v>21</v>
      </c>
      <c r="H588" t="s">
        <v>18</v>
      </c>
      <c r="I588">
        <v>2</v>
      </c>
      <c r="J588" t="s">
        <v>26</v>
      </c>
      <c r="K588" t="s">
        <v>32</v>
      </c>
      <c r="L588">
        <v>51</v>
      </c>
      <c r="M588" t="str">
        <f t="shared" si="9"/>
        <v>Old</v>
      </c>
      <c r="N588" t="s">
        <v>18</v>
      </c>
    </row>
    <row r="589" spans="1:14" x14ac:dyDescent="0.3">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39</v>
      </c>
      <c r="D590" s="3">
        <v>90000</v>
      </c>
      <c r="E590">
        <v>2</v>
      </c>
      <c r="F590" t="s">
        <v>27</v>
      </c>
      <c r="G590" t="s">
        <v>21</v>
      </c>
      <c r="H590" t="s">
        <v>15</v>
      </c>
      <c r="I590">
        <v>1</v>
      </c>
      <c r="J590" t="s">
        <v>46</v>
      </c>
      <c r="K590" t="s">
        <v>32</v>
      </c>
      <c r="L590">
        <v>51</v>
      </c>
      <c r="M590" t="str">
        <f t="shared" si="9"/>
        <v>Old</v>
      </c>
      <c r="N590" t="s">
        <v>15</v>
      </c>
    </row>
    <row r="591" spans="1:14" x14ac:dyDescent="0.3">
      <c r="A591">
        <v>12100</v>
      </c>
      <c r="B591" t="s">
        <v>37</v>
      </c>
      <c r="C591" t="s">
        <v>38</v>
      </c>
      <c r="D591" s="3">
        <v>60000</v>
      </c>
      <c r="E591">
        <v>2</v>
      </c>
      <c r="F591" t="s">
        <v>13</v>
      </c>
      <c r="G591" t="s">
        <v>28</v>
      </c>
      <c r="H591" t="s">
        <v>15</v>
      </c>
      <c r="I591">
        <v>0</v>
      </c>
      <c r="J591" t="s">
        <v>46</v>
      </c>
      <c r="K591" t="s">
        <v>32</v>
      </c>
      <c r="L591">
        <v>57</v>
      </c>
      <c r="M591" t="str">
        <f t="shared" si="9"/>
        <v>Old</v>
      </c>
      <c r="N591" t="s">
        <v>18</v>
      </c>
    </row>
    <row r="592" spans="1:14" x14ac:dyDescent="0.3">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38</v>
      </c>
      <c r="D593" s="3">
        <v>40000</v>
      </c>
      <c r="E593">
        <v>4</v>
      </c>
      <c r="F593" t="s">
        <v>27</v>
      </c>
      <c r="G593" t="s">
        <v>21</v>
      </c>
      <c r="H593" t="s">
        <v>18</v>
      </c>
      <c r="I593">
        <v>2</v>
      </c>
      <c r="J593" t="s">
        <v>46</v>
      </c>
      <c r="K593" t="s">
        <v>32</v>
      </c>
      <c r="L593">
        <v>61</v>
      </c>
      <c r="M593" t="str">
        <f t="shared" si="9"/>
        <v>Old</v>
      </c>
      <c r="N593" t="s">
        <v>15</v>
      </c>
    </row>
    <row r="594" spans="1:14" x14ac:dyDescent="0.3">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38</v>
      </c>
      <c r="D604" s="3">
        <v>60000</v>
      </c>
      <c r="E604">
        <v>2</v>
      </c>
      <c r="F604" t="s">
        <v>29</v>
      </c>
      <c r="G604" t="s">
        <v>14</v>
      </c>
      <c r="H604" t="s">
        <v>15</v>
      </c>
      <c r="I604">
        <v>2</v>
      </c>
      <c r="J604" t="s">
        <v>23</v>
      </c>
      <c r="K604" t="s">
        <v>32</v>
      </c>
      <c r="L604">
        <v>52</v>
      </c>
      <c r="M604" t="str">
        <f t="shared" si="9"/>
        <v>Old</v>
      </c>
      <c r="N604" t="s">
        <v>15</v>
      </c>
    </row>
    <row r="605" spans="1:14" x14ac:dyDescent="0.3">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38</v>
      </c>
      <c r="D607" s="3">
        <v>70000</v>
      </c>
      <c r="E607">
        <v>3</v>
      </c>
      <c r="F607" t="s">
        <v>27</v>
      </c>
      <c r="G607" t="s">
        <v>21</v>
      </c>
      <c r="H607" t="s">
        <v>15</v>
      </c>
      <c r="I607">
        <v>0</v>
      </c>
      <c r="J607" t="s">
        <v>23</v>
      </c>
      <c r="K607" t="s">
        <v>32</v>
      </c>
      <c r="L607">
        <v>52</v>
      </c>
      <c r="M607" t="str">
        <f t="shared" si="9"/>
        <v>Old</v>
      </c>
      <c r="N607" t="s">
        <v>15</v>
      </c>
    </row>
    <row r="608" spans="1:14" x14ac:dyDescent="0.3">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39</v>
      </c>
      <c r="D609" s="3">
        <v>70000</v>
      </c>
      <c r="E609">
        <v>5</v>
      </c>
      <c r="F609" t="s">
        <v>31</v>
      </c>
      <c r="G609" t="s">
        <v>21</v>
      </c>
      <c r="H609" t="s">
        <v>15</v>
      </c>
      <c r="I609">
        <v>3</v>
      </c>
      <c r="J609" t="s">
        <v>46</v>
      </c>
      <c r="K609" t="s">
        <v>32</v>
      </c>
      <c r="L609">
        <v>46</v>
      </c>
      <c r="M609" t="str">
        <f t="shared" si="9"/>
        <v>Middle Age</v>
      </c>
      <c r="N609" t="s">
        <v>15</v>
      </c>
    </row>
    <row r="610" spans="1:14" x14ac:dyDescent="0.3">
      <c r="A610">
        <v>16890</v>
      </c>
      <c r="B610" t="s">
        <v>36</v>
      </c>
      <c r="C610" t="s">
        <v>38</v>
      </c>
      <c r="D610" s="3">
        <v>60000</v>
      </c>
      <c r="E610">
        <v>3</v>
      </c>
      <c r="F610" t="s">
        <v>29</v>
      </c>
      <c r="G610" t="s">
        <v>14</v>
      </c>
      <c r="H610" t="s">
        <v>15</v>
      </c>
      <c r="I610">
        <v>2</v>
      </c>
      <c r="J610" t="s">
        <v>23</v>
      </c>
      <c r="K610" t="s">
        <v>32</v>
      </c>
      <c r="L610">
        <v>52</v>
      </c>
      <c r="M610" t="str">
        <f t="shared" si="9"/>
        <v>Old</v>
      </c>
      <c r="N610" t="s">
        <v>15</v>
      </c>
    </row>
    <row r="611" spans="1:14" x14ac:dyDescent="0.3">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38</v>
      </c>
      <c r="D630" s="3">
        <v>80000</v>
      </c>
      <c r="E630">
        <v>3</v>
      </c>
      <c r="F630" t="s">
        <v>19</v>
      </c>
      <c r="G630" t="s">
        <v>21</v>
      </c>
      <c r="H630" t="s">
        <v>18</v>
      </c>
      <c r="I630">
        <v>1</v>
      </c>
      <c r="J630" t="s">
        <v>26</v>
      </c>
      <c r="K630" t="s">
        <v>32</v>
      </c>
      <c r="L630">
        <v>51</v>
      </c>
      <c r="M630" t="str">
        <f t="shared" si="9"/>
        <v>Old</v>
      </c>
      <c r="N630" t="s">
        <v>15</v>
      </c>
    </row>
    <row r="631" spans="1:14" x14ac:dyDescent="0.3">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38</v>
      </c>
      <c r="D643" s="3">
        <v>50000</v>
      </c>
      <c r="E643">
        <v>4</v>
      </c>
      <c r="F643" t="s">
        <v>13</v>
      </c>
      <c r="G643" t="s">
        <v>28</v>
      </c>
      <c r="H643" t="s">
        <v>15</v>
      </c>
      <c r="I643">
        <v>2</v>
      </c>
      <c r="J643" t="s">
        <v>46</v>
      </c>
      <c r="K643" t="s">
        <v>32</v>
      </c>
      <c r="L643">
        <v>64</v>
      </c>
      <c r="M643" t="str">
        <f t="shared" ref="M643:M706" si="10">IF(L643&gt;50,"Old",IF(L643&gt;=31,"Middle Age",IF(L643&lt;31,"Adolescent","Invalid")))</f>
        <v>Old</v>
      </c>
      <c r="N643" t="s">
        <v>18</v>
      </c>
    </row>
    <row r="644" spans="1:14" x14ac:dyDescent="0.3">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39</v>
      </c>
      <c r="D646" s="3">
        <v>60000</v>
      </c>
      <c r="E646">
        <v>5</v>
      </c>
      <c r="F646" t="s">
        <v>13</v>
      </c>
      <c r="G646" t="s">
        <v>14</v>
      </c>
      <c r="H646" t="s">
        <v>15</v>
      </c>
      <c r="I646">
        <v>3</v>
      </c>
      <c r="J646" t="s">
        <v>46</v>
      </c>
      <c r="K646" t="s">
        <v>32</v>
      </c>
      <c r="L646">
        <v>41</v>
      </c>
      <c r="M646" t="str">
        <f t="shared" si="10"/>
        <v>Middle Age</v>
      </c>
      <c r="N646" t="s">
        <v>18</v>
      </c>
    </row>
    <row r="647" spans="1:14" x14ac:dyDescent="0.3">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39</v>
      </c>
      <c r="D652" s="3">
        <v>70000</v>
      </c>
      <c r="E652">
        <v>5</v>
      </c>
      <c r="F652" t="s">
        <v>31</v>
      </c>
      <c r="G652" t="s">
        <v>28</v>
      </c>
      <c r="H652" t="s">
        <v>15</v>
      </c>
      <c r="I652">
        <v>2</v>
      </c>
      <c r="J652" t="s">
        <v>46</v>
      </c>
      <c r="K652" t="s">
        <v>32</v>
      </c>
      <c r="L652">
        <v>67</v>
      </c>
      <c r="M652" t="str">
        <f t="shared" si="10"/>
        <v>Old</v>
      </c>
      <c r="N652" t="s">
        <v>15</v>
      </c>
    </row>
    <row r="653" spans="1:14" x14ac:dyDescent="0.3">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39</v>
      </c>
      <c r="D661" s="3">
        <v>60000</v>
      </c>
      <c r="E661">
        <v>4</v>
      </c>
      <c r="F661" t="s">
        <v>13</v>
      </c>
      <c r="G661" t="s">
        <v>28</v>
      </c>
      <c r="H661" t="s">
        <v>15</v>
      </c>
      <c r="I661">
        <v>2</v>
      </c>
      <c r="J661" t="s">
        <v>46</v>
      </c>
      <c r="K661" t="s">
        <v>32</v>
      </c>
      <c r="L661">
        <v>63</v>
      </c>
      <c r="M661" t="str">
        <f t="shared" si="10"/>
        <v>Old</v>
      </c>
      <c r="N661" t="s">
        <v>18</v>
      </c>
    </row>
    <row r="662" spans="1:14" x14ac:dyDescent="0.3">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39</v>
      </c>
      <c r="D669" s="3">
        <v>40000</v>
      </c>
      <c r="E669">
        <v>5</v>
      </c>
      <c r="F669" t="s">
        <v>27</v>
      </c>
      <c r="G669" t="s">
        <v>21</v>
      </c>
      <c r="H669" t="s">
        <v>18</v>
      </c>
      <c r="I669">
        <v>2</v>
      </c>
      <c r="J669" t="s">
        <v>46</v>
      </c>
      <c r="K669" t="s">
        <v>32</v>
      </c>
      <c r="L669">
        <v>61</v>
      </c>
      <c r="M669" t="str">
        <f t="shared" si="10"/>
        <v>Old</v>
      </c>
      <c r="N669" t="s">
        <v>18</v>
      </c>
    </row>
    <row r="670" spans="1:14" x14ac:dyDescent="0.3">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38</v>
      </c>
      <c r="D672" s="3">
        <v>70000</v>
      </c>
      <c r="E672">
        <v>2</v>
      </c>
      <c r="F672" t="s">
        <v>19</v>
      </c>
      <c r="G672" t="s">
        <v>21</v>
      </c>
      <c r="H672" t="s">
        <v>15</v>
      </c>
      <c r="I672">
        <v>1</v>
      </c>
      <c r="J672" t="s">
        <v>46</v>
      </c>
      <c r="K672" t="s">
        <v>32</v>
      </c>
      <c r="L672">
        <v>59</v>
      </c>
      <c r="M672" t="str">
        <f t="shared" si="10"/>
        <v>Old</v>
      </c>
      <c r="N672" t="s">
        <v>18</v>
      </c>
    </row>
    <row r="673" spans="1:14" x14ac:dyDescent="0.3">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38</v>
      </c>
      <c r="D681" s="3">
        <v>60000</v>
      </c>
      <c r="E681">
        <v>4</v>
      </c>
      <c r="F681" t="s">
        <v>13</v>
      </c>
      <c r="G681" t="s">
        <v>28</v>
      </c>
      <c r="H681" t="s">
        <v>15</v>
      </c>
      <c r="I681">
        <v>2</v>
      </c>
      <c r="J681" t="s">
        <v>46</v>
      </c>
      <c r="K681" t="s">
        <v>32</v>
      </c>
      <c r="L681">
        <v>60</v>
      </c>
      <c r="M681" t="str">
        <f t="shared" si="10"/>
        <v>Old</v>
      </c>
      <c r="N681" t="s">
        <v>18</v>
      </c>
    </row>
    <row r="682" spans="1:14" x14ac:dyDescent="0.3">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38</v>
      </c>
      <c r="D684" s="3">
        <v>20000</v>
      </c>
      <c r="E684">
        <v>3</v>
      </c>
      <c r="F684" t="s">
        <v>29</v>
      </c>
      <c r="G684" t="s">
        <v>20</v>
      </c>
      <c r="H684" t="s">
        <v>18</v>
      </c>
      <c r="I684">
        <v>2</v>
      </c>
      <c r="J684" t="s">
        <v>16</v>
      </c>
      <c r="K684" t="s">
        <v>32</v>
      </c>
      <c r="L684">
        <v>52</v>
      </c>
      <c r="M684" t="str">
        <f t="shared" si="10"/>
        <v>Old</v>
      </c>
      <c r="N684" t="s">
        <v>18</v>
      </c>
    </row>
    <row r="685" spans="1:14" x14ac:dyDescent="0.3">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39</v>
      </c>
      <c r="D687" s="3">
        <v>60000</v>
      </c>
      <c r="E687">
        <v>3</v>
      </c>
      <c r="F687" t="s">
        <v>31</v>
      </c>
      <c r="G687" t="s">
        <v>28</v>
      </c>
      <c r="H687" t="s">
        <v>15</v>
      </c>
      <c r="I687">
        <v>2</v>
      </c>
      <c r="J687" t="s">
        <v>23</v>
      </c>
      <c r="K687" t="s">
        <v>32</v>
      </c>
      <c r="L687">
        <v>53</v>
      </c>
      <c r="M687" t="str">
        <f t="shared" si="10"/>
        <v>Old</v>
      </c>
      <c r="N687" t="s">
        <v>15</v>
      </c>
    </row>
    <row r="688" spans="1:14" x14ac:dyDescent="0.3">
      <c r="A688">
        <v>12774</v>
      </c>
      <c r="B688" t="s">
        <v>36</v>
      </c>
      <c r="C688" t="s">
        <v>39</v>
      </c>
      <c r="D688" s="3">
        <v>40000</v>
      </c>
      <c r="E688">
        <v>1</v>
      </c>
      <c r="F688" t="s">
        <v>19</v>
      </c>
      <c r="G688" t="s">
        <v>20</v>
      </c>
      <c r="H688" t="s">
        <v>15</v>
      </c>
      <c r="I688">
        <v>1</v>
      </c>
      <c r="J688" t="s">
        <v>26</v>
      </c>
      <c r="K688" t="s">
        <v>32</v>
      </c>
      <c r="L688">
        <v>51</v>
      </c>
      <c r="M688" t="str">
        <f t="shared" si="10"/>
        <v>Old</v>
      </c>
      <c r="N688" t="s">
        <v>15</v>
      </c>
    </row>
    <row r="689" spans="1:14" x14ac:dyDescent="0.3">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39</v>
      </c>
      <c r="D707" s="3">
        <v>70000</v>
      </c>
      <c r="E707">
        <v>4</v>
      </c>
      <c r="F707" t="s">
        <v>13</v>
      </c>
      <c r="G707" t="s">
        <v>28</v>
      </c>
      <c r="H707" t="s">
        <v>15</v>
      </c>
      <c r="I707">
        <v>1</v>
      </c>
      <c r="J707" t="s">
        <v>46</v>
      </c>
      <c r="K707" t="s">
        <v>32</v>
      </c>
      <c r="L707">
        <v>59</v>
      </c>
      <c r="M707" t="str">
        <f t="shared" ref="M707:M770" si="11">IF(L707&gt;50,"Old",IF(L707&gt;=31,"Middle Age",IF(L707&lt;31,"Adolescent","Invalid")))</f>
        <v>Old</v>
      </c>
      <c r="N707" t="s">
        <v>18</v>
      </c>
    </row>
    <row r="708" spans="1:14" x14ac:dyDescent="0.3">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38</v>
      </c>
      <c r="D710" s="3">
        <v>70000</v>
      </c>
      <c r="E710">
        <v>5</v>
      </c>
      <c r="F710" t="s">
        <v>13</v>
      </c>
      <c r="G710" t="s">
        <v>28</v>
      </c>
      <c r="H710" t="s">
        <v>15</v>
      </c>
      <c r="I710">
        <v>4</v>
      </c>
      <c r="J710" t="s">
        <v>46</v>
      </c>
      <c r="K710" t="s">
        <v>32</v>
      </c>
      <c r="L710">
        <v>60</v>
      </c>
      <c r="M710" t="str">
        <f t="shared" si="11"/>
        <v>Old</v>
      </c>
      <c r="N710" t="s">
        <v>18</v>
      </c>
    </row>
    <row r="711" spans="1:14" x14ac:dyDescent="0.3">
      <c r="A711">
        <v>23712</v>
      </c>
      <c r="B711" t="s">
        <v>37</v>
      </c>
      <c r="C711" t="s">
        <v>39</v>
      </c>
      <c r="D711" s="3">
        <v>70000</v>
      </c>
      <c r="E711">
        <v>2</v>
      </c>
      <c r="F711" t="s">
        <v>13</v>
      </c>
      <c r="G711" t="s">
        <v>28</v>
      </c>
      <c r="H711" t="s">
        <v>15</v>
      </c>
      <c r="I711">
        <v>1</v>
      </c>
      <c r="J711" t="s">
        <v>46</v>
      </c>
      <c r="K711" t="s">
        <v>32</v>
      </c>
      <c r="L711">
        <v>59</v>
      </c>
      <c r="M711" t="str">
        <f t="shared" si="11"/>
        <v>Old</v>
      </c>
      <c r="N711" t="s">
        <v>18</v>
      </c>
    </row>
    <row r="712" spans="1:14" x14ac:dyDescent="0.3">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39</v>
      </c>
      <c r="D713" s="3">
        <v>70000</v>
      </c>
      <c r="E713">
        <v>2</v>
      </c>
      <c r="F713" t="s">
        <v>19</v>
      </c>
      <c r="G713" t="s">
        <v>21</v>
      </c>
      <c r="H713" t="s">
        <v>15</v>
      </c>
      <c r="I713">
        <v>1</v>
      </c>
      <c r="J713" t="s">
        <v>46</v>
      </c>
      <c r="K713" t="s">
        <v>32</v>
      </c>
      <c r="L713">
        <v>58</v>
      </c>
      <c r="M713" t="str">
        <f t="shared" si="11"/>
        <v>Old</v>
      </c>
      <c r="N713" t="s">
        <v>18</v>
      </c>
    </row>
    <row r="714" spans="1:14" x14ac:dyDescent="0.3">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39</v>
      </c>
      <c r="D724" s="3">
        <v>70000</v>
      </c>
      <c r="E724">
        <v>3</v>
      </c>
      <c r="F724" t="s">
        <v>31</v>
      </c>
      <c r="G724" t="s">
        <v>28</v>
      </c>
      <c r="H724" t="s">
        <v>18</v>
      </c>
      <c r="I724">
        <v>2</v>
      </c>
      <c r="J724" t="s">
        <v>26</v>
      </c>
      <c r="K724" t="s">
        <v>32</v>
      </c>
      <c r="L724">
        <v>53</v>
      </c>
      <c r="M724" t="str">
        <f t="shared" si="11"/>
        <v>Old</v>
      </c>
      <c r="N724" t="s">
        <v>18</v>
      </c>
    </row>
    <row r="725" spans="1:14" x14ac:dyDescent="0.3">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38</v>
      </c>
      <c r="D728" s="3">
        <v>20000</v>
      </c>
      <c r="E728">
        <v>2</v>
      </c>
      <c r="F728" t="s">
        <v>27</v>
      </c>
      <c r="G728" t="s">
        <v>25</v>
      </c>
      <c r="H728" t="s">
        <v>18</v>
      </c>
      <c r="I728">
        <v>2</v>
      </c>
      <c r="J728" t="s">
        <v>16</v>
      </c>
      <c r="K728" t="s">
        <v>32</v>
      </c>
      <c r="L728">
        <v>53</v>
      </c>
      <c r="M728" t="str">
        <f t="shared" si="11"/>
        <v>Old</v>
      </c>
      <c r="N728" t="s">
        <v>18</v>
      </c>
    </row>
    <row r="729" spans="1:14" x14ac:dyDescent="0.3">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39</v>
      </c>
      <c r="D741" s="3">
        <v>60000</v>
      </c>
      <c r="E741">
        <v>2</v>
      </c>
      <c r="F741" t="s">
        <v>19</v>
      </c>
      <c r="G741" t="s">
        <v>21</v>
      </c>
      <c r="H741" t="s">
        <v>15</v>
      </c>
      <c r="I741">
        <v>1</v>
      </c>
      <c r="J741" t="s">
        <v>46</v>
      </c>
      <c r="K741" t="s">
        <v>32</v>
      </c>
      <c r="L741">
        <v>55</v>
      </c>
      <c r="M741" t="str">
        <f t="shared" si="11"/>
        <v>Old</v>
      </c>
      <c r="N741" t="s">
        <v>18</v>
      </c>
    </row>
    <row r="742" spans="1:14" x14ac:dyDescent="0.3">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39</v>
      </c>
      <c r="D746" s="3">
        <v>70000</v>
      </c>
      <c r="E746">
        <v>4</v>
      </c>
      <c r="F746" t="s">
        <v>19</v>
      </c>
      <c r="G746" t="s">
        <v>21</v>
      </c>
      <c r="H746" t="s">
        <v>15</v>
      </c>
      <c r="I746">
        <v>1</v>
      </c>
      <c r="J746" t="s">
        <v>46</v>
      </c>
      <c r="K746" t="s">
        <v>32</v>
      </c>
      <c r="L746">
        <v>56</v>
      </c>
      <c r="M746" t="str">
        <f t="shared" si="11"/>
        <v>Old</v>
      </c>
      <c r="N746" t="s">
        <v>18</v>
      </c>
    </row>
    <row r="747" spans="1:14" x14ac:dyDescent="0.3">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39</v>
      </c>
      <c r="D748" s="3">
        <v>60000</v>
      </c>
      <c r="E748">
        <v>2</v>
      </c>
      <c r="F748" t="s">
        <v>13</v>
      </c>
      <c r="G748" t="s">
        <v>28</v>
      </c>
      <c r="H748" t="s">
        <v>15</v>
      </c>
      <c r="I748">
        <v>0</v>
      </c>
      <c r="J748" t="s">
        <v>46</v>
      </c>
      <c r="K748" t="s">
        <v>32</v>
      </c>
      <c r="L748">
        <v>56</v>
      </c>
      <c r="M748" t="str">
        <f t="shared" si="11"/>
        <v>Old</v>
      </c>
      <c r="N748" t="s">
        <v>18</v>
      </c>
    </row>
    <row r="749" spans="1:14" x14ac:dyDescent="0.3">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38</v>
      </c>
      <c r="D757" s="3">
        <v>60000</v>
      </c>
      <c r="E757">
        <v>3</v>
      </c>
      <c r="F757" t="s">
        <v>27</v>
      </c>
      <c r="G757" t="s">
        <v>21</v>
      </c>
      <c r="H757" t="s">
        <v>18</v>
      </c>
      <c r="I757">
        <v>2</v>
      </c>
      <c r="J757" t="s">
        <v>22</v>
      </c>
      <c r="K757" t="s">
        <v>32</v>
      </c>
      <c r="L757">
        <v>53</v>
      </c>
      <c r="M757" t="str">
        <f t="shared" si="11"/>
        <v>Old</v>
      </c>
      <c r="N757" t="s">
        <v>18</v>
      </c>
    </row>
    <row r="758" spans="1:14" x14ac:dyDescent="0.3">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38</v>
      </c>
      <c r="D759" s="3">
        <v>30000</v>
      </c>
      <c r="E759">
        <v>1</v>
      </c>
      <c r="F759" t="s">
        <v>27</v>
      </c>
      <c r="G759" t="s">
        <v>20</v>
      </c>
      <c r="H759" t="s">
        <v>15</v>
      </c>
      <c r="I759">
        <v>2</v>
      </c>
      <c r="J759" t="s">
        <v>26</v>
      </c>
      <c r="K759" t="s">
        <v>32</v>
      </c>
      <c r="L759">
        <v>51</v>
      </c>
      <c r="M759" t="str">
        <f t="shared" si="11"/>
        <v>Old</v>
      </c>
      <c r="N759" t="s">
        <v>15</v>
      </c>
    </row>
    <row r="760" spans="1:14" x14ac:dyDescent="0.3">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39</v>
      </c>
      <c r="D763" s="3">
        <v>60000</v>
      </c>
      <c r="E763">
        <v>5</v>
      </c>
      <c r="F763" t="s">
        <v>13</v>
      </c>
      <c r="G763" t="s">
        <v>28</v>
      </c>
      <c r="H763" t="s">
        <v>15</v>
      </c>
      <c r="I763">
        <v>3</v>
      </c>
      <c r="J763" t="s">
        <v>46</v>
      </c>
      <c r="K763" t="s">
        <v>32</v>
      </c>
      <c r="L763">
        <v>59</v>
      </c>
      <c r="M763" t="str">
        <f t="shared" si="11"/>
        <v>Old</v>
      </c>
      <c r="N763" t="s">
        <v>18</v>
      </c>
    </row>
    <row r="764" spans="1:14" x14ac:dyDescent="0.3">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38</v>
      </c>
      <c r="D768" s="3">
        <v>50000</v>
      </c>
      <c r="E768">
        <v>4</v>
      </c>
      <c r="F768" t="s">
        <v>13</v>
      </c>
      <c r="G768" t="s">
        <v>14</v>
      </c>
      <c r="H768" t="s">
        <v>15</v>
      </c>
      <c r="I768">
        <v>3</v>
      </c>
      <c r="J768" t="s">
        <v>46</v>
      </c>
      <c r="K768" t="s">
        <v>32</v>
      </c>
      <c r="L768">
        <v>42</v>
      </c>
      <c r="M768" t="str">
        <f t="shared" si="11"/>
        <v>Middle Age</v>
      </c>
      <c r="N768" t="s">
        <v>18</v>
      </c>
    </row>
    <row r="769" spans="1:14" x14ac:dyDescent="0.3">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39</v>
      </c>
      <c r="D771" s="3">
        <v>100000</v>
      </c>
      <c r="E771">
        <v>4</v>
      </c>
      <c r="F771" t="s">
        <v>13</v>
      </c>
      <c r="G771" t="s">
        <v>28</v>
      </c>
      <c r="H771" t="s">
        <v>15</v>
      </c>
      <c r="I771">
        <v>4</v>
      </c>
      <c r="J771" t="s">
        <v>16</v>
      </c>
      <c r="K771" t="s">
        <v>32</v>
      </c>
      <c r="L771">
        <v>40</v>
      </c>
      <c r="M771" t="str">
        <f t="shared" ref="M771:M834" si="12">IF(L771&gt;50,"Old",IF(L771&gt;=31,"Middle Age",IF(L771&lt;31,"Adolescent","Invalid")))</f>
        <v>Middle Age</v>
      </c>
      <c r="N771" t="s">
        <v>18</v>
      </c>
    </row>
    <row r="772" spans="1:14" x14ac:dyDescent="0.3">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38</v>
      </c>
      <c r="D777" s="3">
        <v>70000</v>
      </c>
      <c r="E777">
        <v>2</v>
      </c>
      <c r="F777" t="s">
        <v>29</v>
      </c>
      <c r="G777" t="s">
        <v>14</v>
      </c>
      <c r="H777" t="s">
        <v>15</v>
      </c>
      <c r="I777">
        <v>2</v>
      </c>
      <c r="J777" t="s">
        <v>46</v>
      </c>
      <c r="K777" t="s">
        <v>32</v>
      </c>
      <c r="L777">
        <v>54</v>
      </c>
      <c r="M777" t="str">
        <f t="shared" si="12"/>
        <v>Old</v>
      </c>
      <c r="N777" t="s">
        <v>18</v>
      </c>
    </row>
    <row r="778" spans="1:14" x14ac:dyDescent="0.3">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39</v>
      </c>
      <c r="D782" s="3">
        <v>60000</v>
      </c>
      <c r="E782">
        <v>2</v>
      </c>
      <c r="F782" t="s">
        <v>19</v>
      </c>
      <c r="G782" t="s">
        <v>21</v>
      </c>
      <c r="H782" t="s">
        <v>15</v>
      </c>
      <c r="I782">
        <v>1</v>
      </c>
      <c r="J782" t="s">
        <v>46</v>
      </c>
      <c r="K782" t="s">
        <v>32</v>
      </c>
      <c r="L782">
        <v>55</v>
      </c>
      <c r="M782" t="str">
        <f t="shared" si="12"/>
        <v>Old</v>
      </c>
      <c r="N782" t="s">
        <v>18</v>
      </c>
    </row>
    <row r="783" spans="1:14" x14ac:dyDescent="0.3">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39</v>
      </c>
      <c r="D786" s="3">
        <v>10000</v>
      </c>
      <c r="E786">
        <v>2</v>
      </c>
      <c r="F786" t="s">
        <v>27</v>
      </c>
      <c r="G786" t="s">
        <v>25</v>
      </c>
      <c r="H786" t="s">
        <v>15</v>
      </c>
      <c r="I786">
        <v>2</v>
      </c>
      <c r="J786" t="s">
        <v>26</v>
      </c>
      <c r="K786" t="s">
        <v>32</v>
      </c>
      <c r="L786">
        <v>53</v>
      </c>
      <c r="M786" t="str">
        <f t="shared" si="12"/>
        <v>Old</v>
      </c>
      <c r="N786" t="s">
        <v>15</v>
      </c>
    </row>
    <row r="787" spans="1:14" x14ac:dyDescent="0.3">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38</v>
      </c>
      <c r="D794" s="3">
        <v>30000</v>
      </c>
      <c r="E794">
        <v>1</v>
      </c>
      <c r="F794" t="s">
        <v>27</v>
      </c>
      <c r="G794" t="s">
        <v>20</v>
      </c>
      <c r="H794" t="s">
        <v>18</v>
      </c>
      <c r="I794">
        <v>1</v>
      </c>
      <c r="J794" t="s">
        <v>23</v>
      </c>
      <c r="K794" t="s">
        <v>32</v>
      </c>
      <c r="L794">
        <v>52</v>
      </c>
      <c r="M794" t="str">
        <f t="shared" si="12"/>
        <v>Old</v>
      </c>
      <c r="N794" t="s">
        <v>18</v>
      </c>
    </row>
    <row r="795" spans="1:14" x14ac:dyDescent="0.3">
      <c r="A795">
        <v>12768</v>
      </c>
      <c r="B795" t="s">
        <v>36</v>
      </c>
      <c r="C795" t="s">
        <v>38</v>
      </c>
      <c r="D795" s="3">
        <v>30000</v>
      </c>
      <c r="E795">
        <v>1</v>
      </c>
      <c r="F795" t="s">
        <v>27</v>
      </c>
      <c r="G795" t="s">
        <v>20</v>
      </c>
      <c r="H795" t="s">
        <v>15</v>
      </c>
      <c r="I795">
        <v>1</v>
      </c>
      <c r="J795" t="s">
        <v>22</v>
      </c>
      <c r="K795" t="s">
        <v>32</v>
      </c>
      <c r="L795">
        <v>52</v>
      </c>
      <c r="M795" t="str">
        <f t="shared" si="12"/>
        <v>Old</v>
      </c>
      <c r="N795" t="s">
        <v>15</v>
      </c>
    </row>
    <row r="796" spans="1:14" x14ac:dyDescent="0.3">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38</v>
      </c>
      <c r="D797" s="3">
        <v>60000</v>
      </c>
      <c r="E797">
        <v>2</v>
      </c>
      <c r="F797" t="s">
        <v>27</v>
      </c>
      <c r="G797" t="s">
        <v>21</v>
      </c>
      <c r="H797" t="s">
        <v>15</v>
      </c>
      <c r="I797">
        <v>2</v>
      </c>
      <c r="J797" t="s">
        <v>23</v>
      </c>
      <c r="K797" t="s">
        <v>32</v>
      </c>
      <c r="L797">
        <v>51</v>
      </c>
      <c r="M797" t="str">
        <f t="shared" si="12"/>
        <v>Old</v>
      </c>
      <c r="N797" t="s">
        <v>18</v>
      </c>
    </row>
    <row r="798" spans="1:14" x14ac:dyDescent="0.3">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39</v>
      </c>
      <c r="D808" s="3">
        <v>10000</v>
      </c>
      <c r="E808">
        <v>2</v>
      </c>
      <c r="F808" t="s">
        <v>27</v>
      </c>
      <c r="G808" t="s">
        <v>25</v>
      </c>
      <c r="H808" t="s">
        <v>15</v>
      </c>
      <c r="I808">
        <v>2</v>
      </c>
      <c r="J808" t="s">
        <v>26</v>
      </c>
      <c r="K808" t="s">
        <v>32</v>
      </c>
      <c r="L808">
        <v>53</v>
      </c>
      <c r="M808" t="str">
        <f t="shared" si="12"/>
        <v>Old</v>
      </c>
      <c r="N808" t="s">
        <v>18</v>
      </c>
    </row>
    <row r="809" spans="1:14" x14ac:dyDescent="0.3">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39</v>
      </c>
      <c r="D812" s="3">
        <v>70000</v>
      </c>
      <c r="E812">
        <v>3</v>
      </c>
      <c r="F812" t="s">
        <v>31</v>
      </c>
      <c r="G812" t="s">
        <v>28</v>
      </c>
      <c r="H812" t="s">
        <v>15</v>
      </c>
      <c r="I812">
        <v>2</v>
      </c>
      <c r="J812" t="s">
        <v>23</v>
      </c>
      <c r="K812" t="s">
        <v>32</v>
      </c>
      <c r="L812">
        <v>52</v>
      </c>
      <c r="M812" t="str">
        <f t="shared" si="12"/>
        <v>Old</v>
      </c>
      <c r="N812" t="s">
        <v>15</v>
      </c>
    </row>
    <row r="813" spans="1:14" x14ac:dyDescent="0.3">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39</v>
      </c>
      <c r="D814" s="3">
        <v>70000</v>
      </c>
      <c r="E814">
        <v>4</v>
      </c>
      <c r="F814" t="s">
        <v>13</v>
      </c>
      <c r="G814" t="s">
        <v>28</v>
      </c>
      <c r="H814" t="s">
        <v>15</v>
      </c>
      <c r="I814">
        <v>2</v>
      </c>
      <c r="J814" t="s">
        <v>46</v>
      </c>
      <c r="K814" t="s">
        <v>32</v>
      </c>
      <c r="L814">
        <v>61</v>
      </c>
      <c r="M814" t="str">
        <f t="shared" si="12"/>
        <v>Old</v>
      </c>
      <c r="N814" t="s">
        <v>18</v>
      </c>
    </row>
    <row r="815" spans="1:14" x14ac:dyDescent="0.3">
      <c r="A815">
        <v>25899</v>
      </c>
      <c r="B815" t="s">
        <v>36</v>
      </c>
      <c r="C815" t="s">
        <v>39</v>
      </c>
      <c r="D815" s="3">
        <v>70000</v>
      </c>
      <c r="E815">
        <v>2</v>
      </c>
      <c r="F815" t="s">
        <v>27</v>
      </c>
      <c r="G815" t="s">
        <v>21</v>
      </c>
      <c r="H815" t="s">
        <v>15</v>
      </c>
      <c r="I815">
        <v>2</v>
      </c>
      <c r="J815" t="s">
        <v>46</v>
      </c>
      <c r="K815" t="s">
        <v>32</v>
      </c>
      <c r="L815">
        <v>53</v>
      </c>
      <c r="M815" t="str">
        <f t="shared" si="12"/>
        <v>Old</v>
      </c>
      <c r="N815" t="s">
        <v>18</v>
      </c>
    </row>
    <row r="816" spans="1:14" x14ac:dyDescent="0.3">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38</v>
      </c>
      <c r="D827" s="3">
        <v>70000</v>
      </c>
      <c r="E827">
        <v>3</v>
      </c>
      <c r="F827" t="s">
        <v>27</v>
      </c>
      <c r="G827" t="s">
        <v>21</v>
      </c>
      <c r="H827" t="s">
        <v>18</v>
      </c>
      <c r="I827">
        <v>1</v>
      </c>
      <c r="J827" t="s">
        <v>26</v>
      </c>
      <c r="K827" t="s">
        <v>32</v>
      </c>
      <c r="L827">
        <v>52</v>
      </c>
      <c r="M827" t="str">
        <f t="shared" si="12"/>
        <v>Old</v>
      </c>
      <c r="N827" t="s">
        <v>15</v>
      </c>
    </row>
    <row r="828" spans="1:14" x14ac:dyDescent="0.3">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38</v>
      </c>
      <c r="D832" s="3">
        <v>60000</v>
      </c>
      <c r="E832">
        <v>2</v>
      </c>
      <c r="F832" t="s">
        <v>27</v>
      </c>
      <c r="G832" t="s">
        <v>21</v>
      </c>
      <c r="H832" t="s">
        <v>18</v>
      </c>
      <c r="I832">
        <v>2</v>
      </c>
      <c r="J832" t="s">
        <v>23</v>
      </c>
      <c r="K832" t="s">
        <v>32</v>
      </c>
      <c r="L832">
        <v>51</v>
      </c>
      <c r="M832" t="str">
        <f t="shared" si="12"/>
        <v>Old</v>
      </c>
      <c r="N832" t="s">
        <v>18</v>
      </c>
    </row>
    <row r="833" spans="1:14" x14ac:dyDescent="0.3">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39</v>
      </c>
      <c r="D835" s="3">
        <v>70000</v>
      </c>
      <c r="E835">
        <v>0</v>
      </c>
      <c r="F835" t="s">
        <v>13</v>
      </c>
      <c r="G835" t="s">
        <v>21</v>
      </c>
      <c r="H835" t="s">
        <v>18</v>
      </c>
      <c r="I835">
        <v>1</v>
      </c>
      <c r="J835" t="s">
        <v>16</v>
      </c>
      <c r="K835" t="s">
        <v>32</v>
      </c>
      <c r="L835">
        <v>37</v>
      </c>
      <c r="M835" t="str">
        <f t="shared" ref="M835:M898" si="13">IF(L835&gt;50,"Old",IF(L835&gt;=31,"Middle Age",IF(L835&lt;31,"Adolescent","Invalid")))</f>
        <v>Middle Age</v>
      </c>
      <c r="N835" t="s">
        <v>15</v>
      </c>
    </row>
    <row r="836" spans="1:14" x14ac:dyDescent="0.3">
      <c r="A836">
        <v>19889</v>
      </c>
      <c r="B836" t="s">
        <v>37</v>
      </c>
      <c r="C836" t="s">
        <v>39</v>
      </c>
      <c r="D836" s="3">
        <v>70000</v>
      </c>
      <c r="E836">
        <v>2</v>
      </c>
      <c r="F836" t="s">
        <v>29</v>
      </c>
      <c r="G836" t="s">
        <v>14</v>
      </c>
      <c r="H836" t="s">
        <v>18</v>
      </c>
      <c r="I836">
        <v>2</v>
      </c>
      <c r="J836" t="s">
        <v>22</v>
      </c>
      <c r="K836" t="s">
        <v>32</v>
      </c>
      <c r="L836">
        <v>54</v>
      </c>
      <c r="M836" t="str">
        <f t="shared" si="13"/>
        <v>Old</v>
      </c>
      <c r="N836" t="s">
        <v>15</v>
      </c>
    </row>
    <row r="837" spans="1:14" x14ac:dyDescent="0.3">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38</v>
      </c>
      <c r="D842" s="3">
        <v>70000</v>
      </c>
      <c r="E842">
        <v>4</v>
      </c>
      <c r="F842" t="s">
        <v>19</v>
      </c>
      <c r="G842" t="s">
        <v>21</v>
      </c>
      <c r="H842" t="s">
        <v>15</v>
      </c>
      <c r="I842">
        <v>2</v>
      </c>
      <c r="J842" t="s">
        <v>46</v>
      </c>
      <c r="K842" t="s">
        <v>32</v>
      </c>
      <c r="L842">
        <v>53</v>
      </c>
      <c r="M842" t="str">
        <f t="shared" si="13"/>
        <v>Old</v>
      </c>
      <c r="N842" t="s">
        <v>18</v>
      </c>
    </row>
    <row r="843" spans="1:14" x14ac:dyDescent="0.3">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38</v>
      </c>
      <c r="D845" s="3">
        <v>80000</v>
      </c>
      <c r="E845">
        <v>2</v>
      </c>
      <c r="F845" t="s">
        <v>29</v>
      </c>
      <c r="G845" t="s">
        <v>14</v>
      </c>
      <c r="H845" t="s">
        <v>18</v>
      </c>
      <c r="I845">
        <v>2</v>
      </c>
      <c r="J845" t="s">
        <v>26</v>
      </c>
      <c r="K845" t="s">
        <v>32</v>
      </c>
      <c r="L845">
        <v>52</v>
      </c>
      <c r="M845" t="str">
        <f t="shared" si="13"/>
        <v>Old</v>
      </c>
      <c r="N845" t="s">
        <v>18</v>
      </c>
    </row>
    <row r="846" spans="1:14" x14ac:dyDescent="0.3">
      <c r="A846">
        <v>22743</v>
      </c>
      <c r="B846" t="s">
        <v>36</v>
      </c>
      <c r="C846" t="s">
        <v>39</v>
      </c>
      <c r="D846" s="3">
        <v>40000</v>
      </c>
      <c r="E846">
        <v>5</v>
      </c>
      <c r="F846" t="s">
        <v>27</v>
      </c>
      <c r="G846" t="s">
        <v>21</v>
      </c>
      <c r="H846" t="s">
        <v>15</v>
      </c>
      <c r="I846">
        <v>2</v>
      </c>
      <c r="J846" t="s">
        <v>46</v>
      </c>
      <c r="K846" t="s">
        <v>32</v>
      </c>
      <c r="L846">
        <v>60</v>
      </c>
      <c r="M846" t="str">
        <f t="shared" si="13"/>
        <v>Old</v>
      </c>
      <c r="N846" t="s">
        <v>18</v>
      </c>
    </row>
    <row r="847" spans="1:14" x14ac:dyDescent="0.3">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39</v>
      </c>
      <c r="D863" s="3">
        <v>20000</v>
      </c>
      <c r="E863">
        <v>2</v>
      </c>
      <c r="F863" t="s">
        <v>27</v>
      </c>
      <c r="G863" t="s">
        <v>25</v>
      </c>
      <c r="H863" t="s">
        <v>18</v>
      </c>
      <c r="I863">
        <v>2</v>
      </c>
      <c r="J863" t="s">
        <v>26</v>
      </c>
      <c r="K863" t="s">
        <v>32</v>
      </c>
      <c r="L863">
        <v>53</v>
      </c>
      <c r="M863" t="str">
        <f t="shared" si="13"/>
        <v>Old</v>
      </c>
      <c r="N863" t="s">
        <v>15</v>
      </c>
    </row>
    <row r="864" spans="1:14" x14ac:dyDescent="0.3">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38</v>
      </c>
      <c r="D868" s="3">
        <v>60000</v>
      </c>
      <c r="E868">
        <v>2</v>
      </c>
      <c r="F868" t="s">
        <v>27</v>
      </c>
      <c r="G868" t="s">
        <v>21</v>
      </c>
      <c r="H868" t="s">
        <v>15</v>
      </c>
      <c r="I868">
        <v>2</v>
      </c>
      <c r="J868" t="s">
        <v>46</v>
      </c>
      <c r="K868" t="s">
        <v>32</v>
      </c>
      <c r="L868">
        <v>55</v>
      </c>
      <c r="M868" t="str">
        <f t="shared" si="13"/>
        <v>Old</v>
      </c>
      <c r="N868" t="s">
        <v>18</v>
      </c>
    </row>
    <row r="869" spans="1:14" x14ac:dyDescent="0.3">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38</v>
      </c>
      <c r="D870" s="3">
        <v>30000</v>
      </c>
      <c r="E870">
        <v>5</v>
      </c>
      <c r="F870" t="s">
        <v>29</v>
      </c>
      <c r="G870" t="s">
        <v>14</v>
      </c>
      <c r="H870" t="s">
        <v>15</v>
      </c>
      <c r="I870">
        <v>3</v>
      </c>
      <c r="J870" t="s">
        <v>46</v>
      </c>
      <c r="K870" t="s">
        <v>32</v>
      </c>
      <c r="L870">
        <v>60</v>
      </c>
      <c r="M870" t="str">
        <f t="shared" si="13"/>
        <v>Old</v>
      </c>
      <c r="N870" t="s">
        <v>15</v>
      </c>
    </row>
    <row r="871" spans="1:14" x14ac:dyDescent="0.3">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38</v>
      </c>
      <c r="D873" s="3">
        <v>60000</v>
      </c>
      <c r="E873">
        <v>2</v>
      </c>
      <c r="F873" t="s">
        <v>27</v>
      </c>
      <c r="G873" t="s">
        <v>21</v>
      </c>
      <c r="H873" t="s">
        <v>15</v>
      </c>
      <c r="I873">
        <v>2</v>
      </c>
      <c r="J873" t="s">
        <v>46</v>
      </c>
      <c r="K873" t="s">
        <v>32</v>
      </c>
      <c r="L873">
        <v>55</v>
      </c>
      <c r="M873" t="str">
        <f t="shared" si="13"/>
        <v>Old</v>
      </c>
      <c r="N873" t="s">
        <v>18</v>
      </c>
    </row>
    <row r="874" spans="1:14" x14ac:dyDescent="0.3">
      <c r="A874">
        <v>22118</v>
      </c>
      <c r="B874" t="s">
        <v>37</v>
      </c>
      <c r="C874" t="s">
        <v>39</v>
      </c>
      <c r="D874" s="3">
        <v>70000</v>
      </c>
      <c r="E874">
        <v>3</v>
      </c>
      <c r="F874" t="s">
        <v>31</v>
      </c>
      <c r="G874" t="s">
        <v>28</v>
      </c>
      <c r="H874" t="s">
        <v>15</v>
      </c>
      <c r="I874">
        <v>2</v>
      </c>
      <c r="J874" t="s">
        <v>23</v>
      </c>
      <c r="K874" t="s">
        <v>32</v>
      </c>
      <c r="L874">
        <v>53</v>
      </c>
      <c r="M874" t="str">
        <f t="shared" si="13"/>
        <v>Old</v>
      </c>
      <c r="N874" t="s">
        <v>15</v>
      </c>
    </row>
    <row r="875" spans="1:14" x14ac:dyDescent="0.3">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39</v>
      </c>
      <c r="D876" s="3">
        <v>30000</v>
      </c>
      <c r="E876">
        <v>1</v>
      </c>
      <c r="F876" t="s">
        <v>13</v>
      </c>
      <c r="G876" t="s">
        <v>14</v>
      </c>
      <c r="H876" t="s">
        <v>15</v>
      </c>
      <c r="I876">
        <v>1</v>
      </c>
      <c r="J876" t="s">
        <v>23</v>
      </c>
      <c r="K876" t="s">
        <v>32</v>
      </c>
      <c r="L876">
        <v>53</v>
      </c>
      <c r="M876" t="str">
        <f t="shared" si="13"/>
        <v>Old</v>
      </c>
      <c r="N876" t="s">
        <v>15</v>
      </c>
    </row>
    <row r="877" spans="1:14" x14ac:dyDescent="0.3">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38</v>
      </c>
      <c r="D899" s="3">
        <v>30000</v>
      </c>
      <c r="E899">
        <v>0</v>
      </c>
      <c r="F899" t="s">
        <v>29</v>
      </c>
      <c r="G899" t="s">
        <v>20</v>
      </c>
      <c r="H899" t="s">
        <v>18</v>
      </c>
      <c r="I899">
        <v>2</v>
      </c>
      <c r="J899" t="s">
        <v>16</v>
      </c>
      <c r="K899" t="s">
        <v>32</v>
      </c>
      <c r="L899">
        <v>28</v>
      </c>
      <c r="M899" t="str">
        <f t="shared" ref="M899:M962" si="14">IF(L899&gt;50,"Old",IF(L899&gt;=31,"Middle Age",IF(L899&lt;31,"Adolescent","Invalid")))</f>
        <v>Adolescent</v>
      </c>
      <c r="N899" t="s">
        <v>18</v>
      </c>
    </row>
    <row r="900" spans="1:14" x14ac:dyDescent="0.3">
      <c r="A900">
        <v>18066</v>
      </c>
      <c r="B900" t="s">
        <v>37</v>
      </c>
      <c r="C900" t="s">
        <v>38</v>
      </c>
      <c r="D900" s="3">
        <v>70000</v>
      </c>
      <c r="E900">
        <v>5</v>
      </c>
      <c r="F900" t="s">
        <v>13</v>
      </c>
      <c r="G900" t="s">
        <v>28</v>
      </c>
      <c r="H900" t="s">
        <v>15</v>
      </c>
      <c r="I900">
        <v>3</v>
      </c>
      <c r="J900" t="s">
        <v>46</v>
      </c>
      <c r="K900" t="s">
        <v>32</v>
      </c>
      <c r="L900">
        <v>60</v>
      </c>
      <c r="M900" t="str">
        <f t="shared" si="14"/>
        <v>Old</v>
      </c>
      <c r="N900" t="s">
        <v>15</v>
      </c>
    </row>
    <row r="901" spans="1:14" x14ac:dyDescent="0.3">
      <c r="A901">
        <v>28192</v>
      </c>
      <c r="B901" t="s">
        <v>36</v>
      </c>
      <c r="C901" t="s">
        <v>39</v>
      </c>
      <c r="D901" s="3">
        <v>70000</v>
      </c>
      <c r="E901">
        <v>5</v>
      </c>
      <c r="F901" t="s">
        <v>31</v>
      </c>
      <c r="G901" t="s">
        <v>21</v>
      </c>
      <c r="H901" t="s">
        <v>15</v>
      </c>
      <c r="I901">
        <v>3</v>
      </c>
      <c r="J901" t="s">
        <v>46</v>
      </c>
      <c r="K901" t="s">
        <v>32</v>
      </c>
      <c r="L901">
        <v>46</v>
      </c>
      <c r="M901" t="str">
        <f t="shared" si="14"/>
        <v>Middle Age</v>
      </c>
      <c r="N901" t="s">
        <v>18</v>
      </c>
    </row>
    <row r="902" spans="1:14" x14ac:dyDescent="0.3">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38</v>
      </c>
      <c r="D909" s="3">
        <v>50000</v>
      </c>
      <c r="E909">
        <v>4</v>
      </c>
      <c r="F909" t="s">
        <v>13</v>
      </c>
      <c r="G909" t="s">
        <v>28</v>
      </c>
      <c r="H909" t="s">
        <v>15</v>
      </c>
      <c r="I909">
        <v>2</v>
      </c>
      <c r="J909" t="s">
        <v>46</v>
      </c>
      <c r="K909" t="s">
        <v>32</v>
      </c>
      <c r="L909">
        <v>63</v>
      </c>
      <c r="M909" t="str">
        <f t="shared" si="14"/>
        <v>Old</v>
      </c>
      <c r="N909" t="s">
        <v>18</v>
      </c>
    </row>
    <row r="910" spans="1:14" x14ac:dyDescent="0.3">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38</v>
      </c>
      <c r="D917" s="3">
        <v>60000</v>
      </c>
      <c r="E917">
        <v>3</v>
      </c>
      <c r="F917" t="s">
        <v>31</v>
      </c>
      <c r="G917" t="s">
        <v>28</v>
      </c>
      <c r="H917" t="s">
        <v>15</v>
      </c>
      <c r="I917">
        <v>2</v>
      </c>
      <c r="J917" t="s">
        <v>46</v>
      </c>
      <c r="K917" t="s">
        <v>32</v>
      </c>
      <c r="L917">
        <v>64</v>
      </c>
      <c r="M917" t="str">
        <f t="shared" si="14"/>
        <v>Old</v>
      </c>
      <c r="N917" t="s">
        <v>18</v>
      </c>
    </row>
    <row r="918" spans="1:14" x14ac:dyDescent="0.3">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39</v>
      </c>
      <c r="D921" s="3">
        <v>40000</v>
      </c>
      <c r="E921">
        <v>4</v>
      </c>
      <c r="F921" t="s">
        <v>27</v>
      </c>
      <c r="G921" t="s">
        <v>21</v>
      </c>
      <c r="H921" t="s">
        <v>15</v>
      </c>
      <c r="I921">
        <v>2</v>
      </c>
      <c r="J921" t="s">
        <v>46</v>
      </c>
      <c r="K921" t="s">
        <v>32</v>
      </c>
      <c r="L921">
        <v>61</v>
      </c>
      <c r="M921" t="str">
        <f t="shared" si="14"/>
        <v>Old</v>
      </c>
      <c r="N921" t="s">
        <v>18</v>
      </c>
    </row>
    <row r="922" spans="1:14" x14ac:dyDescent="0.3">
      <c r="A922">
        <v>20754</v>
      </c>
      <c r="B922" t="s">
        <v>36</v>
      </c>
      <c r="C922" t="s">
        <v>38</v>
      </c>
      <c r="D922" s="3">
        <v>30000</v>
      </c>
      <c r="E922">
        <v>2</v>
      </c>
      <c r="F922" t="s">
        <v>27</v>
      </c>
      <c r="G922" t="s">
        <v>14</v>
      </c>
      <c r="H922" t="s">
        <v>15</v>
      </c>
      <c r="I922">
        <v>2</v>
      </c>
      <c r="J922" t="s">
        <v>26</v>
      </c>
      <c r="K922" t="s">
        <v>32</v>
      </c>
      <c r="L922">
        <v>51</v>
      </c>
      <c r="M922" t="str">
        <f t="shared" si="14"/>
        <v>Old</v>
      </c>
      <c r="N922" t="s">
        <v>18</v>
      </c>
    </row>
    <row r="923" spans="1:14" x14ac:dyDescent="0.3">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39</v>
      </c>
      <c r="D924" s="3">
        <v>40000</v>
      </c>
      <c r="E924">
        <v>3</v>
      </c>
      <c r="F924" t="s">
        <v>19</v>
      </c>
      <c r="G924" t="s">
        <v>21</v>
      </c>
      <c r="H924" t="s">
        <v>18</v>
      </c>
      <c r="I924">
        <v>2</v>
      </c>
      <c r="J924" t="s">
        <v>26</v>
      </c>
      <c r="K924" t="s">
        <v>32</v>
      </c>
      <c r="L924">
        <v>54</v>
      </c>
      <c r="M924" t="str">
        <f t="shared" si="14"/>
        <v>Old</v>
      </c>
      <c r="N924" t="s">
        <v>15</v>
      </c>
    </row>
    <row r="925" spans="1:14" x14ac:dyDescent="0.3">
      <c r="A925">
        <v>26728</v>
      </c>
      <c r="B925" t="s">
        <v>37</v>
      </c>
      <c r="C925" t="s">
        <v>38</v>
      </c>
      <c r="D925" s="3">
        <v>70000</v>
      </c>
      <c r="E925">
        <v>3</v>
      </c>
      <c r="F925" t="s">
        <v>31</v>
      </c>
      <c r="G925" t="s">
        <v>28</v>
      </c>
      <c r="H925" t="s">
        <v>18</v>
      </c>
      <c r="I925">
        <v>2</v>
      </c>
      <c r="J925" t="s">
        <v>26</v>
      </c>
      <c r="K925" t="s">
        <v>32</v>
      </c>
      <c r="L925">
        <v>53</v>
      </c>
      <c r="M925" t="str">
        <f t="shared" si="14"/>
        <v>Old</v>
      </c>
      <c r="N925" t="s">
        <v>15</v>
      </c>
    </row>
    <row r="926" spans="1:14" x14ac:dyDescent="0.3">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39</v>
      </c>
      <c r="D928" s="3">
        <v>40000</v>
      </c>
      <c r="E928">
        <v>2</v>
      </c>
      <c r="F928" t="s">
        <v>27</v>
      </c>
      <c r="G928" t="s">
        <v>21</v>
      </c>
      <c r="H928" t="s">
        <v>15</v>
      </c>
      <c r="I928">
        <v>2</v>
      </c>
      <c r="J928" t="s">
        <v>46</v>
      </c>
      <c r="K928" t="s">
        <v>32</v>
      </c>
      <c r="L928">
        <v>57</v>
      </c>
      <c r="M928" t="str">
        <f t="shared" si="14"/>
        <v>Old</v>
      </c>
      <c r="N928" t="s">
        <v>18</v>
      </c>
    </row>
    <row r="929" spans="1:14" x14ac:dyDescent="0.3">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38</v>
      </c>
      <c r="D932" s="3">
        <v>70000</v>
      </c>
      <c r="E932">
        <v>5</v>
      </c>
      <c r="F932" t="s">
        <v>31</v>
      </c>
      <c r="G932" t="s">
        <v>21</v>
      </c>
      <c r="H932" t="s">
        <v>18</v>
      </c>
      <c r="I932">
        <v>3</v>
      </c>
      <c r="J932" t="s">
        <v>46</v>
      </c>
      <c r="K932" t="s">
        <v>32</v>
      </c>
      <c r="L932">
        <v>47</v>
      </c>
      <c r="M932" t="str">
        <f t="shared" si="14"/>
        <v>Middle Age</v>
      </c>
      <c r="N932" t="s">
        <v>18</v>
      </c>
    </row>
    <row r="933" spans="1:14" x14ac:dyDescent="0.3">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39</v>
      </c>
      <c r="D944" s="3">
        <v>40000</v>
      </c>
      <c r="E944">
        <v>3</v>
      </c>
      <c r="F944" t="s">
        <v>19</v>
      </c>
      <c r="G944" t="s">
        <v>21</v>
      </c>
      <c r="H944" t="s">
        <v>15</v>
      </c>
      <c r="I944">
        <v>2</v>
      </c>
      <c r="J944" t="s">
        <v>23</v>
      </c>
      <c r="K944" t="s">
        <v>32</v>
      </c>
      <c r="L944">
        <v>54</v>
      </c>
      <c r="M944" t="str">
        <f t="shared" si="14"/>
        <v>Old</v>
      </c>
      <c r="N944" t="s">
        <v>18</v>
      </c>
    </row>
    <row r="945" spans="1:14" x14ac:dyDescent="0.3">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38</v>
      </c>
      <c r="D951" s="3">
        <v>70000</v>
      </c>
      <c r="E951">
        <v>2</v>
      </c>
      <c r="F951" t="s">
        <v>29</v>
      </c>
      <c r="G951" t="s">
        <v>14</v>
      </c>
      <c r="H951" t="s">
        <v>15</v>
      </c>
      <c r="I951">
        <v>2</v>
      </c>
      <c r="J951" t="s">
        <v>46</v>
      </c>
      <c r="K951" t="s">
        <v>32</v>
      </c>
      <c r="L951">
        <v>53</v>
      </c>
      <c r="M951" t="str">
        <f t="shared" si="14"/>
        <v>Old</v>
      </c>
      <c r="N951" t="s">
        <v>18</v>
      </c>
    </row>
    <row r="952" spans="1:14" x14ac:dyDescent="0.3">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39</v>
      </c>
      <c r="D963" s="3">
        <v>120000</v>
      </c>
      <c r="E963">
        <v>2</v>
      </c>
      <c r="F963" t="s">
        <v>13</v>
      </c>
      <c r="G963" t="s">
        <v>28</v>
      </c>
      <c r="H963" t="s">
        <v>15</v>
      </c>
      <c r="I963">
        <v>3</v>
      </c>
      <c r="J963" t="s">
        <v>23</v>
      </c>
      <c r="K963" t="s">
        <v>32</v>
      </c>
      <c r="L963">
        <v>62</v>
      </c>
      <c r="M963" t="str">
        <f t="shared" ref="M963:M1001" si="15">IF(L963&gt;50,"Old",IF(L963&gt;=31,"Middle Age",IF(L963&lt;31,"Adolescent","Invalid")))</f>
        <v>Old</v>
      </c>
      <c r="N963" t="s">
        <v>18</v>
      </c>
    </row>
    <row r="964" spans="1:14" x14ac:dyDescent="0.3">
      <c r="A964">
        <v>16813</v>
      </c>
      <c r="B964" t="s">
        <v>36</v>
      </c>
      <c r="C964" t="s">
        <v>38</v>
      </c>
      <c r="D964" s="3">
        <v>60000</v>
      </c>
      <c r="E964">
        <v>2</v>
      </c>
      <c r="F964" t="s">
        <v>19</v>
      </c>
      <c r="G964" t="s">
        <v>21</v>
      </c>
      <c r="H964" t="s">
        <v>15</v>
      </c>
      <c r="I964">
        <v>2</v>
      </c>
      <c r="J964" t="s">
        <v>46</v>
      </c>
      <c r="K964" t="s">
        <v>32</v>
      </c>
      <c r="L964">
        <v>55</v>
      </c>
      <c r="M964" t="str">
        <f t="shared" si="15"/>
        <v>Old</v>
      </c>
      <c r="N964" t="s">
        <v>18</v>
      </c>
    </row>
    <row r="965" spans="1:14" x14ac:dyDescent="0.3">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38</v>
      </c>
      <c r="D966" s="3">
        <v>70000</v>
      </c>
      <c r="E966">
        <v>4</v>
      </c>
      <c r="F966" t="s">
        <v>19</v>
      </c>
      <c r="G966" t="s">
        <v>21</v>
      </c>
      <c r="H966" t="s">
        <v>15</v>
      </c>
      <c r="I966">
        <v>1</v>
      </c>
      <c r="J966" t="s">
        <v>46</v>
      </c>
      <c r="K966" t="s">
        <v>32</v>
      </c>
      <c r="L966">
        <v>56</v>
      </c>
      <c r="M966" t="str">
        <f t="shared" si="15"/>
        <v>Old</v>
      </c>
      <c r="N966" t="s">
        <v>18</v>
      </c>
    </row>
    <row r="967" spans="1:14" x14ac:dyDescent="0.3">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39</v>
      </c>
      <c r="D973" s="3">
        <v>60000</v>
      </c>
      <c r="E973">
        <v>2</v>
      </c>
      <c r="F973" t="s">
        <v>29</v>
      </c>
      <c r="G973" t="s">
        <v>14</v>
      </c>
      <c r="H973" t="s">
        <v>18</v>
      </c>
      <c r="I973">
        <v>2</v>
      </c>
      <c r="J973" t="s">
        <v>26</v>
      </c>
      <c r="K973" t="s">
        <v>32</v>
      </c>
      <c r="L973">
        <v>51</v>
      </c>
      <c r="M973" t="str">
        <f t="shared" si="15"/>
        <v>Old</v>
      </c>
      <c r="N973" t="s">
        <v>18</v>
      </c>
    </row>
    <row r="974" spans="1:14" x14ac:dyDescent="0.3">
      <c r="A974">
        <v>14887</v>
      </c>
      <c r="B974" t="s">
        <v>36</v>
      </c>
      <c r="C974" t="s">
        <v>39</v>
      </c>
      <c r="D974" s="3">
        <v>30000</v>
      </c>
      <c r="E974">
        <v>1</v>
      </c>
      <c r="F974" t="s">
        <v>27</v>
      </c>
      <c r="G974" t="s">
        <v>20</v>
      </c>
      <c r="H974" t="s">
        <v>15</v>
      </c>
      <c r="I974">
        <v>1</v>
      </c>
      <c r="J974" t="s">
        <v>23</v>
      </c>
      <c r="K974" t="s">
        <v>32</v>
      </c>
      <c r="L974">
        <v>52</v>
      </c>
      <c r="M974" t="str">
        <f t="shared" si="15"/>
        <v>Old</v>
      </c>
      <c r="N974" t="s">
        <v>18</v>
      </c>
    </row>
    <row r="975" spans="1:14" x14ac:dyDescent="0.3">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38</v>
      </c>
      <c r="D976" s="3">
        <v>70000</v>
      </c>
      <c r="E976">
        <v>3</v>
      </c>
      <c r="F976" t="s">
        <v>31</v>
      </c>
      <c r="G976" t="s">
        <v>28</v>
      </c>
      <c r="H976" t="s">
        <v>15</v>
      </c>
      <c r="I976">
        <v>2</v>
      </c>
      <c r="J976" t="s">
        <v>23</v>
      </c>
      <c r="K976" t="s">
        <v>32</v>
      </c>
      <c r="L976">
        <v>53</v>
      </c>
      <c r="M976" t="str">
        <f t="shared" si="15"/>
        <v>Old</v>
      </c>
      <c r="N976" t="s">
        <v>15</v>
      </c>
    </row>
    <row r="977" spans="1:14" x14ac:dyDescent="0.3">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39</v>
      </c>
      <c r="D978" s="3">
        <v>60000</v>
      </c>
      <c r="E978">
        <v>3</v>
      </c>
      <c r="F978" t="s">
        <v>13</v>
      </c>
      <c r="G978" t="s">
        <v>28</v>
      </c>
      <c r="H978" t="s">
        <v>15</v>
      </c>
      <c r="I978">
        <v>2</v>
      </c>
      <c r="J978" t="s">
        <v>46</v>
      </c>
      <c r="K978" t="s">
        <v>32</v>
      </c>
      <c r="L978">
        <v>66</v>
      </c>
      <c r="M978" t="str">
        <f t="shared" si="15"/>
        <v>Old</v>
      </c>
      <c r="N978" t="s">
        <v>18</v>
      </c>
    </row>
    <row r="979" spans="1:14" x14ac:dyDescent="0.3">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39</v>
      </c>
      <c r="D982" s="3">
        <v>80000</v>
      </c>
      <c r="E982">
        <v>3</v>
      </c>
      <c r="F982" t="s">
        <v>13</v>
      </c>
      <c r="G982" t="s">
        <v>14</v>
      </c>
      <c r="H982" t="s">
        <v>15</v>
      </c>
      <c r="I982">
        <v>3</v>
      </c>
      <c r="J982" t="s">
        <v>46</v>
      </c>
      <c r="K982" t="s">
        <v>32</v>
      </c>
      <c r="L982">
        <v>40</v>
      </c>
      <c r="M982" t="str">
        <f t="shared" si="15"/>
        <v>Middle Age</v>
      </c>
      <c r="N982" t="s">
        <v>15</v>
      </c>
    </row>
    <row r="983" spans="1:14" x14ac:dyDescent="0.3">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38</v>
      </c>
      <c r="D988" s="3">
        <v>40000</v>
      </c>
      <c r="E988">
        <v>5</v>
      </c>
      <c r="F988" t="s">
        <v>27</v>
      </c>
      <c r="G988" t="s">
        <v>21</v>
      </c>
      <c r="H988" t="s">
        <v>15</v>
      </c>
      <c r="I988">
        <v>4</v>
      </c>
      <c r="J988" t="s">
        <v>46</v>
      </c>
      <c r="K988" t="s">
        <v>32</v>
      </c>
      <c r="L988">
        <v>60</v>
      </c>
      <c r="M988" t="str">
        <f t="shared" si="15"/>
        <v>Old</v>
      </c>
      <c r="N988" t="s">
        <v>15</v>
      </c>
    </row>
    <row r="989" spans="1:14" x14ac:dyDescent="0.3">
      <c r="A989">
        <v>28972</v>
      </c>
      <c r="B989" t="s">
        <v>37</v>
      </c>
      <c r="C989" t="s">
        <v>39</v>
      </c>
      <c r="D989" s="3">
        <v>60000</v>
      </c>
      <c r="E989">
        <v>3</v>
      </c>
      <c r="F989" t="s">
        <v>31</v>
      </c>
      <c r="G989" t="s">
        <v>28</v>
      </c>
      <c r="H989" t="s">
        <v>15</v>
      </c>
      <c r="I989">
        <v>2</v>
      </c>
      <c r="J989" t="s">
        <v>46</v>
      </c>
      <c r="K989" t="s">
        <v>32</v>
      </c>
      <c r="L989">
        <v>66</v>
      </c>
      <c r="M989" t="str">
        <f t="shared" si="15"/>
        <v>Old</v>
      </c>
      <c r="N989" t="s">
        <v>18</v>
      </c>
    </row>
    <row r="990" spans="1:14" x14ac:dyDescent="0.3">
      <c r="A990">
        <v>22730</v>
      </c>
      <c r="B990" t="s">
        <v>36</v>
      </c>
      <c r="C990" t="s">
        <v>38</v>
      </c>
      <c r="D990" s="3">
        <v>70000</v>
      </c>
      <c r="E990">
        <v>5</v>
      </c>
      <c r="F990" t="s">
        <v>13</v>
      </c>
      <c r="G990" t="s">
        <v>28</v>
      </c>
      <c r="H990" t="s">
        <v>15</v>
      </c>
      <c r="I990">
        <v>2</v>
      </c>
      <c r="J990" t="s">
        <v>46</v>
      </c>
      <c r="K990" t="s">
        <v>32</v>
      </c>
      <c r="L990">
        <v>63</v>
      </c>
      <c r="M990" t="str">
        <f t="shared" si="15"/>
        <v>Old</v>
      </c>
      <c r="N990" t="s">
        <v>18</v>
      </c>
    </row>
    <row r="991" spans="1:14" x14ac:dyDescent="0.3">
      <c r="A991">
        <v>29134</v>
      </c>
      <c r="B991" t="s">
        <v>36</v>
      </c>
      <c r="C991" t="s">
        <v>38</v>
      </c>
      <c r="D991" s="3">
        <v>60000</v>
      </c>
      <c r="E991">
        <v>4</v>
      </c>
      <c r="F991" t="s">
        <v>13</v>
      </c>
      <c r="G991" t="s">
        <v>14</v>
      </c>
      <c r="H991" t="s">
        <v>18</v>
      </c>
      <c r="I991">
        <v>3</v>
      </c>
      <c r="J991" t="s">
        <v>46</v>
      </c>
      <c r="K991" t="s">
        <v>32</v>
      </c>
      <c r="L991">
        <v>42</v>
      </c>
      <c r="M991" t="str">
        <f t="shared" si="15"/>
        <v>Middle Age</v>
      </c>
      <c r="N991" t="s">
        <v>18</v>
      </c>
    </row>
    <row r="992" spans="1:14" x14ac:dyDescent="0.3">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38</v>
      </c>
      <c r="D997" s="3">
        <v>60000</v>
      </c>
      <c r="E997" s="2">
        <v>2</v>
      </c>
      <c r="F997" t="s">
        <v>27</v>
      </c>
      <c r="G997" t="s">
        <v>21</v>
      </c>
      <c r="H997" t="s">
        <v>15</v>
      </c>
      <c r="I997">
        <v>2</v>
      </c>
      <c r="J997" t="s">
        <v>22</v>
      </c>
      <c r="K997" t="s">
        <v>32</v>
      </c>
      <c r="L997">
        <v>54</v>
      </c>
      <c r="M997" t="str">
        <f t="shared" si="15"/>
        <v>Old</v>
      </c>
      <c r="N997" t="s">
        <v>15</v>
      </c>
    </row>
    <row r="998" spans="1:14" x14ac:dyDescent="0.3">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38</v>
      </c>
      <c r="D1001" s="3">
        <v>60000</v>
      </c>
      <c r="E1001">
        <v>3</v>
      </c>
      <c r="F1001" t="s">
        <v>27</v>
      </c>
      <c r="G1001" t="s">
        <v>21</v>
      </c>
      <c r="H1001" t="s">
        <v>15</v>
      </c>
      <c r="I1001">
        <v>2</v>
      </c>
      <c r="J1001" t="s">
        <v>46</v>
      </c>
      <c r="K1001" t="s">
        <v>32</v>
      </c>
      <c r="L1001">
        <v>53</v>
      </c>
      <c r="M1001" t="str">
        <f t="shared" si="15"/>
        <v>Old</v>
      </c>
      <c r="N1001" t="s">
        <v>15</v>
      </c>
    </row>
  </sheetData>
  <autoFilter ref="A1:N1001" xr:uid="{0CC2EA26-2EE5-46E2-9AC4-2C03F61748E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D1816-305A-439C-8BC1-99B623921540}">
  <dimension ref="A1:S7"/>
  <sheetViews>
    <sheetView showGridLines="0" tabSelected="1" zoomScaleNormal="100" workbookViewId="0">
      <selection activeCell="X14" sqref="X14"/>
    </sheetView>
  </sheetViews>
  <sheetFormatPr defaultRowHeight="14.4" x14ac:dyDescent="0.3"/>
  <sheetData>
    <row r="1" spans="1:19" ht="14.4" customHeight="1" x14ac:dyDescent="0.3">
      <c r="A1" s="7" t="s">
        <v>50</v>
      </c>
      <c r="B1" s="7"/>
      <c r="C1" s="7"/>
      <c r="D1" s="7"/>
      <c r="E1" s="7"/>
      <c r="F1" s="7"/>
      <c r="G1" s="7"/>
      <c r="H1" s="7"/>
      <c r="I1" s="7"/>
      <c r="J1" s="7"/>
      <c r="K1" s="7"/>
      <c r="L1" s="7"/>
      <c r="M1" s="7"/>
      <c r="N1" s="7"/>
      <c r="O1" s="7"/>
      <c r="P1" s="7"/>
      <c r="Q1" s="7"/>
      <c r="R1" s="7"/>
      <c r="S1" s="7"/>
    </row>
    <row r="2" spans="1:19" ht="14.4" customHeight="1" x14ac:dyDescent="0.3">
      <c r="A2" s="7"/>
      <c r="B2" s="7"/>
      <c r="C2" s="7"/>
      <c r="D2" s="7"/>
      <c r="E2" s="7"/>
      <c r="F2" s="7"/>
      <c r="G2" s="7"/>
      <c r="H2" s="7"/>
      <c r="I2" s="7"/>
      <c r="J2" s="7"/>
      <c r="K2" s="7"/>
      <c r="L2" s="7"/>
      <c r="M2" s="7"/>
      <c r="N2" s="7"/>
      <c r="O2" s="7"/>
      <c r="P2" s="7"/>
      <c r="Q2" s="7"/>
      <c r="R2" s="7"/>
      <c r="S2" s="7"/>
    </row>
    <row r="3" spans="1:19" ht="14.4" customHeight="1" x14ac:dyDescent="0.3">
      <c r="A3" s="7"/>
      <c r="B3" s="7"/>
      <c r="C3" s="7"/>
      <c r="D3" s="7"/>
      <c r="E3" s="7"/>
      <c r="F3" s="7"/>
      <c r="G3" s="7"/>
      <c r="H3" s="7"/>
      <c r="I3" s="7"/>
      <c r="J3" s="7"/>
      <c r="K3" s="7"/>
      <c r="L3" s="7"/>
      <c r="M3" s="7"/>
      <c r="N3" s="7"/>
      <c r="O3" s="7"/>
      <c r="P3" s="7"/>
      <c r="Q3" s="7"/>
      <c r="R3" s="7"/>
      <c r="S3" s="7"/>
    </row>
    <row r="4" spans="1:19" ht="14.4" customHeight="1" x14ac:dyDescent="0.3">
      <c r="A4" s="7"/>
      <c r="B4" s="7"/>
      <c r="C4" s="7"/>
      <c r="D4" s="7"/>
      <c r="E4" s="7"/>
      <c r="F4" s="7"/>
      <c r="G4" s="7"/>
      <c r="H4" s="7"/>
      <c r="I4" s="7"/>
      <c r="J4" s="7"/>
      <c r="K4" s="7"/>
      <c r="L4" s="7"/>
      <c r="M4" s="7"/>
      <c r="N4" s="7"/>
      <c r="O4" s="7"/>
      <c r="P4" s="7"/>
      <c r="Q4" s="7"/>
      <c r="R4" s="7"/>
      <c r="S4" s="7"/>
    </row>
    <row r="5" spans="1:19" ht="14.4" customHeight="1" x14ac:dyDescent="0.3">
      <c r="A5" s="7"/>
      <c r="B5" s="7"/>
      <c r="C5" s="7"/>
      <c r="D5" s="7"/>
      <c r="E5" s="7"/>
      <c r="F5" s="7"/>
      <c r="G5" s="7"/>
      <c r="H5" s="7"/>
      <c r="I5" s="7"/>
      <c r="J5" s="7"/>
      <c r="K5" s="7"/>
      <c r="L5" s="7"/>
      <c r="M5" s="7"/>
      <c r="N5" s="7"/>
      <c r="O5" s="7"/>
      <c r="P5" s="7"/>
      <c r="Q5" s="7"/>
      <c r="R5" s="7"/>
      <c r="S5" s="7"/>
    </row>
    <row r="6" spans="1:19" ht="14.4" customHeight="1" x14ac:dyDescent="0.3">
      <c r="A6" s="7"/>
      <c r="B6" s="7"/>
      <c r="C6" s="7"/>
      <c r="D6" s="7"/>
      <c r="E6" s="7"/>
      <c r="F6" s="7"/>
      <c r="G6" s="7"/>
      <c r="H6" s="7"/>
      <c r="I6" s="7"/>
      <c r="J6" s="7"/>
      <c r="K6" s="7"/>
      <c r="L6" s="7"/>
      <c r="M6" s="7"/>
      <c r="N6" s="7"/>
      <c r="O6" s="7"/>
      <c r="P6" s="7"/>
      <c r="Q6" s="7"/>
      <c r="R6" s="7"/>
      <c r="S6" s="7"/>
    </row>
    <row r="7" spans="1:19" ht="31.2" customHeight="1" x14ac:dyDescent="0.3">
      <c r="A7" s="7"/>
      <c r="B7" s="7"/>
      <c r="C7" s="7"/>
      <c r="D7" s="7"/>
      <c r="E7" s="7"/>
      <c r="F7" s="7"/>
      <c r="G7" s="7"/>
      <c r="H7" s="7"/>
      <c r="I7" s="7"/>
      <c r="J7" s="7"/>
      <c r="K7" s="7"/>
      <c r="L7" s="7"/>
      <c r="M7" s="7"/>
      <c r="N7" s="7"/>
      <c r="O7" s="7"/>
      <c r="P7" s="7"/>
      <c r="Q7" s="7"/>
      <c r="R7" s="7"/>
      <c r="S7" s="7"/>
    </row>
  </sheetData>
  <mergeCells count="1">
    <mergeCell ref="A1:S7"/>
  </mergeCells>
  <pageMargins left="0.7" right="0.7" top="0.75" bottom="0.75" header="0.3" footer="0.3"/>
  <pageSetup paperSize="9" orientation="portrait" horizontalDpi="360" verticalDpi="360"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Pivot Table</vt:lpstr>
      <vt:lpstr>Working Sheet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Warrer Trucho</cp:lastModifiedBy>
  <dcterms:created xsi:type="dcterms:W3CDTF">2022-03-18T02:50:57Z</dcterms:created>
  <dcterms:modified xsi:type="dcterms:W3CDTF">2026-02-12T15:33:10Z</dcterms:modified>
</cp:coreProperties>
</file>